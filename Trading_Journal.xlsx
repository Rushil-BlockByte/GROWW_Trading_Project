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2" autoFilterDateGrouping="1"/>
  </bookViews>
  <sheets>
    <sheet xmlns:r="http://schemas.openxmlformats.org/officeDocument/2006/relationships" name="Instructions" sheetId="1" state="visible" r:id="rId1"/>
    <sheet xmlns:r="http://schemas.openxmlformats.org/officeDocument/2006/relationships" name="Daily Checklist" sheetId="2" state="visible" r:id="rId2"/>
    <sheet xmlns:r="http://schemas.openxmlformats.org/officeDocument/2006/relationships" name="Daily Analysis" sheetId="3" state="visible" r:id="rId3"/>
    <sheet xmlns:r="http://schemas.openxmlformats.org/officeDocument/2006/relationships" name="Signals" sheetId="4" state="visible" r:id="rId4"/>
    <sheet xmlns:r="http://schemas.openxmlformats.org/officeDocument/2006/relationships" name="Levels Worked" sheetId="5" state="visible" r:id="rId5"/>
    <sheet xmlns:r="http://schemas.openxmlformats.org/officeDocument/2006/relationships" name="Level Map" sheetId="6" state="visible" r:id="rId6"/>
    <sheet xmlns:r="http://schemas.openxmlformats.org/officeDocument/2006/relationships" name="Paper Trades" sheetId="7" state="visible" r:id="rId7"/>
    <sheet xmlns:r="http://schemas.openxmlformats.org/officeDocument/2006/relationships" name="Lessons Log" sheetId="8" state="visible" r:id="rId8"/>
  </sheets>
  <definedNames/>
  <calcPr calcId="191029" fullCalcOnLoad="1"/>
</workbook>
</file>

<file path=xl/styles.xml><?xml version="1.0" encoding="utf-8"?>
<styleSheet xmlns="http://schemas.openxmlformats.org/spreadsheetml/2006/main">
  <numFmts count="3">
    <numFmt numFmtId="164" formatCode="0.00&quot;x&quot;"/>
    <numFmt numFmtId="165" formatCode="#,##0.00;\(#,##0.00\);\-"/>
    <numFmt numFmtId="166" formatCode="0.0%"/>
  </numFmts>
  <fonts count="10">
    <font>
      <name val="Calibri"/>
      <family val="2"/>
      <color theme="1"/>
      <sz val="11"/>
      <scheme val="minor"/>
    </font>
    <font>
      <name val="Arial"/>
      <b val="1"/>
      <color rgb="FF111827"/>
      <sz val="14"/>
    </font>
    <font>
      <name val="Arial"/>
      <i val="1"/>
      <color rgb="FF6B7280"/>
      <sz val="10"/>
    </font>
    <font>
      <name val="Arial"/>
      <sz val="10"/>
    </font>
    <font>
      <name val="Arial"/>
      <b val="1"/>
      <sz val="10"/>
    </font>
    <font>
      <name val="Arial"/>
      <color rgb="FF0000FF"/>
      <sz val="10"/>
    </font>
    <font>
      <name val="Arial"/>
      <color rgb="FF000000"/>
      <sz val="10"/>
    </font>
    <font>
      <name val="Arial"/>
      <b val="1"/>
      <color rgb="FFFFFFFF"/>
      <sz val="10"/>
    </font>
    <font>
      <name val="Arial"/>
      <b val="1"/>
      <color rgb="FFFFFFFF"/>
      <sz val="14"/>
    </font>
    <font>
      <name val="Arial"/>
      <i val="1"/>
      <sz val="9"/>
    </font>
  </fonts>
  <fills count="11">
    <fill>
      <patternFill/>
    </fill>
    <fill>
      <patternFill patternType="gray125"/>
    </fill>
    <fill>
      <patternFill patternType="solid">
        <fgColor rgb="FF1F2937"/>
      </patternFill>
    </fill>
    <fill>
      <patternFill patternType="solid">
        <fgColor rgb="FFF3F4F6"/>
      </patternFill>
    </fill>
    <fill>
      <patternFill patternType="solid">
        <fgColor rgb="FFFFF200"/>
      </patternFill>
    </fill>
    <fill>
      <patternFill patternType="solid">
        <fgColor rgb="FFFFF2CC"/>
      </patternFill>
    </fill>
    <fill>
      <patternFill patternType="solid">
        <fgColor rgb="FF374151"/>
      </patternFill>
    </fill>
    <fill>
      <patternFill patternType="solid">
        <fgColor rgb="FF2563EB"/>
      </patternFill>
    </fill>
    <fill>
      <patternFill patternType="solid">
        <fgColor rgb="FFFEF3C7"/>
      </patternFill>
    </fill>
    <fill>
      <patternFill patternType="solid">
        <fgColor rgb="FFFFFF00"/>
      </patternFill>
    </fill>
    <fill>
      <patternFill patternType="solid">
        <fgColor rgb="00FFFF00"/>
      </patternFill>
    </fill>
  </fills>
  <borders count="6">
    <border>
      <left/>
      <right/>
      <top/>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right/>
      <top style="thin">
        <color rgb="FFD1D5DB"/>
      </top>
      <bottom/>
      <diagonal/>
    </border>
    <border>
      <left/>
      <right style="thin">
        <color rgb="FFD1D5DB"/>
      </right>
      <top style="thin">
        <color rgb="FFD1D5DB"/>
      </top>
      <bottom/>
      <diagonal/>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left" vertical="center" wrapText="1"/>
    </xf>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wrapText="1"/>
    </xf>
    <xf numFmtId="0" fontId="0" fillId="0" borderId="1" pivotButton="0" quotePrefix="0" xfId="0"/>
    <xf numFmtId="0" fontId="6" fillId="0" borderId="1" applyAlignment="1" pivotButton="0" quotePrefix="0" xfId="0">
      <alignment horizontal="center" vertical="center"/>
    </xf>
    <xf numFmtId="164" fontId="2" fillId="3" borderId="1" applyAlignment="1" pivotButton="0" quotePrefix="0" xfId="0">
      <alignment horizontal="center" vertical="center"/>
    </xf>
    <xf numFmtId="165" fontId="2" fillId="3" borderId="1" applyAlignment="1" pivotButton="0" quotePrefix="0" xfId="0">
      <alignment horizontal="center" vertical="center"/>
    </xf>
    <xf numFmtId="164" fontId="6" fillId="0" borderId="1" applyAlignment="1" pivotButton="0" quotePrefix="0" xfId="0">
      <alignment horizontal="center" vertical="center"/>
    </xf>
    <xf numFmtId="165" fontId="6" fillId="0" borderId="1" applyAlignment="1" pivotButton="0" quotePrefix="0" xfId="0">
      <alignment horizontal="center" vertical="center"/>
    </xf>
    <xf numFmtId="0" fontId="6" fillId="0" borderId="0" applyAlignment="1" pivotButton="0" quotePrefix="0" xfId="0">
      <alignment horizontal="center" vertical="center"/>
    </xf>
    <xf numFmtId="166" fontId="6" fillId="0" borderId="0" applyAlignment="1" pivotButton="0" quotePrefix="0" xfId="0">
      <alignment horizontal="center" vertical="center"/>
    </xf>
    <xf numFmtId="165" fontId="6" fillId="0" borderId="0" applyAlignment="1" pivotButton="0" quotePrefix="0" xfId="0">
      <alignment horizontal="center" vertical="center"/>
    </xf>
    <xf numFmtId="0" fontId="3" fillId="0" borderId="1" pivotButton="0" quotePrefix="0" xfId="0"/>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3" fillId="5" borderId="1" applyAlignment="1" pivotButton="0" quotePrefix="0" xfId="0">
      <alignment horizontal="center" vertical="center"/>
    </xf>
    <xf numFmtId="0" fontId="3" fillId="4" borderId="1" applyAlignment="1" pivotButton="0" quotePrefix="0" xfId="0">
      <alignment horizontal="center" vertical="center"/>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7" fillId="6" borderId="1" applyAlignment="1" pivotButton="0" quotePrefix="0" xfId="0">
      <alignment horizontal="center" vertical="center"/>
    </xf>
    <xf numFmtId="0" fontId="3" fillId="8" borderId="1" applyAlignment="1" pivotButton="0" quotePrefix="0" xfId="0">
      <alignment horizontal="center" vertical="center"/>
    </xf>
    <xf numFmtId="0" fontId="3" fillId="8" borderId="1" applyAlignment="1" pivotButton="0" quotePrefix="0" xfId="0">
      <alignment horizontal="left" vertical="center" wrapText="1"/>
    </xf>
    <xf numFmtId="0" fontId="0" fillId="9" borderId="0" pivotButton="0" quotePrefix="0" xfId="0"/>
    <xf numFmtId="0" fontId="4" fillId="9" borderId="0" pivotButton="0" quotePrefix="0" xfId="0"/>
    <xf numFmtId="0" fontId="7" fillId="7" borderId="1" applyAlignment="1" pivotButton="0" quotePrefix="0" xfId="0">
      <alignment horizontal="left" vertical="center" wrapText="1"/>
    </xf>
    <xf numFmtId="0" fontId="0" fillId="0" borderId="2" pivotButton="0" quotePrefix="0" xfId="0"/>
    <xf numFmtId="0" fontId="0" fillId="0" borderId="3" pivotButton="0" quotePrefix="0" xfId="0"/>
    <xf numFmtId="0" fontId="8" fillId="2" borderId="0" applyAlignment="1" pivotButton="0" quotePrefix="0" xfId="0">
      <alignment horizontal="center" vertical="center"/>
    </xf>
    <xf numFmtId="0" fontId="0" fillId="0" borderId="0" pivotButton="0" quotePrefix="0" xfId="0"/>
    <xf numFmtId="0" fontId="4" fillId="4" borderId="1" applyAlignment="1" pivotButton="0" quotePrefix="0" xfId="0">
      <alignment horizontal="left" vertical="center" wrapText="1"/>
    </xf>
    <xf numFmtId="0" fontId="9" fillId="0" borderId="0" applyAlignment="1" pivotButton="0" quotePrefix="0" xfId="0">
      <alignment horizontal="left" vertical="center" wrapText="1"/>
    </xf>
    <xf numFmtId="0" fontId="0" fillId="10" borderId="0" pivotButton="0" quotePrefix="0" xfId="0"/>
    <xf numFmtId="0" fontId="4" fillId="1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4.5"/>
  <cols>
    <col width="26" customWidth="1" style="36" min="1" max="1"/>
    <col width="95" customWidth="1" style="36" min="2" max="2"/>
  </cols>
  <sheetData>
    <row r="1" ht="18" customHeight="1" s="36">
      <c r="A1" s="1" t="inlineStr">
        <is>
          <t>GROWW Options Scanner — Trading Journal</t>
        </is>
      </c>
    </row>
    <row r="2">
      <c r="A2" s="2" t="inlineStr">
        <is>
          <t>Daily market analysis, paper-trade log, and lessons. Paper-only. Not investment advice.</t>
        </is>
      </c>
    </row>
    <row r="4">
      <c r="A4" s="3" t="n"/>
      <c r="B4" s="4" t="n"/>
    </row>
    <row r="5">
      <c r="A5" s="5" t="inlineStr">
        <is>
          <t>How to use</t>
        </is>
      </c>
      <c r="B5" s="4" t="n"/>
    </row>
    <row r="6">
      <c r="A6" s="3" t="inlineStr">
        <is>
          <t>Daily Analysis</t>
        </is>
      </c>
      <c r="B6" s="4" t="inlineStr">
        <is>
          <t>One row per trading day. Support/resistance and scanner state from the app (phase4 + phase5 + scanner).</t>
        </is>
      </c>
    </row>
    <row r="7">
      <c r="A7" s="3" t="inlineStr">
        <is>
          <t>Paper Trades</t>
        </is>
      </c>
      <c r="B7" s="4" t="inlineStr">
        <is>
          <t>One row per paper trade. P&amp;L, Result and R:R are AUTO-calculated — do not type over them.</t>
        </is>
      </c>
    </row>
    <row r="8">
      <c r="A8" s="3" t="inlineStr">
        <is>
          <t>Lessons Log</t>
        </is>
      </c>
      <c r="B8" s="4" t="inlineStr">
        <is>
          <t>Mistakes to avoid and good practices to keep, so we don't repeat errors.</t>
        </is>
      </c>
    </row>
    <row r="9">
      <c r="A9" s="3" t="n"/>
      <c r="B9" s="4" t="n"/>
    </row>
    <row r="10">
      <c r="A10" s="5" t="inlineStr">
        <is>
          <t>Colour key</t>
        </is>
      </c>
      <c r="B10" s="4" t="n"/>
    </row>
    <row r="11">
      <c r="A11" s="6" t="inlineStr">
        <is>
          <t>Blue text</t>
        </is>
      </c>
      <c r="B11" s="4" t="inlineStr">
        <is>
          <t>A cell you fill in by hand.</t>
        </is>
      </c>
    </row>
    <row r="12">
      <c r="A12" s="7" t="inlineStr">
        <is>
          <t>Black text</t>
        </is>
      </c>
      <c r="B12" s="4" t="inlineStr">
        <is>
          <t>A formula — leave it alone; it recalculates.</t>
        </is>
      </c>
    </row>
    <row r="13">
      <c r="A13" s="2" t="inlineStr">
        <is>
          <t>Grey italic row</t>
        </is>
      </c>
      <c r="B13" s="4" t="inlineStr">
        <is>
          <t>An EXAMPLE row. Overwrite it or delete it; stats ignore it.</t>
        </is>
      </c>
    </row>
    <row r="14">
      <c r="A14" s="3" t="n"/>
      <c r="B14" s="4" t="n"/>
    </row>
    <row r="15">
      <c r="A15" s="5" t="inlineStr">
        <is>
          <t>Rules baked into the scanner (reference)</t>
        </is>
      </c>
      <c r="B15" s="4" t="n"/>
    </row>
    <row r="16">
      <c r="A16" s="3" t="inlineStr">
        <is>
          <t>Trade approved only when</t>
        </is>
      </c>
      <c r="B16" s="4" t="inlineStr">
        <is>
          <t>Score &gt;= 75 AND all 8 hard gates pass (data, regime, bias, breakout, liquidity, R:R, option-chain).</t>
        </is>
      </c>
    </row>
    <row r="17">
      <c r="A17" s="3" t="inlineStr">
        <is>
          <t>Risk defaults</t>
        </is>
      </c>
      <c r="B17" s="4" t="inlineStr">
        <is>
          <t>Capital 50,000 | Risk/trade 1% | Daily loss limit 1,500 | Max trades/day 3 | Min R:R 1.5.</t>
        </is>
      </c>
    </row>
    <row r="18">
      <c r="A18" s="3" t="inlineStr">
        <is>
          <t>Golden rule</t>
        </is>
      </c>
      <c r="B18" s="4" t="inlineStr">
        <is>
          <t>When in doubt, NO TRADE. The scanner is built to sit out most of the day.</t>
        </is>
      </c>
    </row>
    <row r="20" ht="25" customHeight="1" s="36">
      <c r="A20" s="5" t="inlineStr">
        <is>
          <t>Signals</t>
        </is>
      </c>
      <c r="B20" s="4" t="inlineStr">
        <is>
          <t>Auto-logged every CONFIRMED (ideal) setup: time + option LTP + entry/stop/targets. A signal is an opportunity, not a trade you took.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showGridLines="0" workbookViewId="0">
      <pane ySplit="4" topLeftCell="A5" activePane="bottomLeft" state="frozen"/>
      <selection pane="bottomLeft" activeCell="A1" sqref="A1:C1"/>
    </sheetView>
  </sheetViews>
  <sheetFormatPr baseColWidth="8" defaultRowHeight="14.5"/>
  <cols>
    <col width="6" customWidth="1" style="36" min="1" max="1"/>
    <col width="95" customWidth="1" style="36" min="2" max="2"/>
    <col width="12" customWidth="1" style="36" min="3" max="3"/>
  </cols>
  <sheetData>
    <row r="1" ht="26" customHeight="1" s="36">
      <c r="A1" s="35" t="inlineStr">
        <is>
          <t>S/R FLIP - DAILY TRADING CHECKLIST (paper only)</t>
        </is>
      </c>
    </row>
    <row r="2" ht="22" customHeight="1" s="36">
      <c r="A2" s="38" t="inlineStr">
        <is>
          <t>A trade happens ONLY when every gate in Phase C passes. Most days are NO-TRADE - that is the edge.</t>
        </is>
      </c>
    </row>
    <row r="4">
      <c r="A4" s="27" t="inlineStr">
        <is>
          <t>Tick</t>
        </is>
      </c>
      <c r="B4" s="27" t="inlineStr">
        <is>
          <t>Step</t>
        </is>
      </c>
      <c r="C4" s="27" t="inlineStr">
        <is>
          <t>Who</t>
        </is>
      </c>
    </row>
    <row r="5" ht="20" customHeight="1" s="36">
      <c r="A5" s="32" t="inlineStr">
        <is>
          <t>PHASE A - Morning setup (9:00-9:15)</t>
        </is>
      </c>
      <c r="B5" s="33" t="n"/>
      <c r="C5" s="34" t="n"/>
    </row>
    <row r="6">
      <c r="A6" s="21" t="inlineStr">
        <is>
          <t>[  ]</t>
        </is>
      </c>
      <c r="B6" s="22" t="inlineStr">
        <is>
          <t>Send the fresh Kite request token so live data can be enabled.</t>
        </is>
      </c>
      <c r="C6" s="21" t="inlineStr">
        <is>
          <t>You</t>
        </is>
      </c>
    </row>
    <row r="7">
      <c r="A7" s="21" t="inlineStr">
        <is>
          <t>[  ]</t>
        </is>
      </c>
      <c r="B7" s="22" t="inlineStr">
        <is>
          <t>At 9:10, tell me the ANCHOR: today's OPEN or yesterday's CLOSE + the number.</t>
        </is>
      </c>
      <c r="C7" s="21" t="inlineStr">
        <is>
          <t>You</t>
        </is>
      </c>
    </row>
    <row r="8" ht="25" customHeight="1" s="36">
      <c r="A8" s="21" t="inlineStr">
        <is>
          <t>[  ]</t>
        </is>
      </c>
      <c r="B8" s="22" t="inlineStr">
        <is>
          <t>I build 5-year levels (5-min + 15-min), anchored on your number, and hand you the map: S/R ladder + touchpoints + the 2-3 strongest zones.</t>
        </is>
      </c>
      <c r="C8" s="21" t="inlineStr">
        <is>
          <t>Claude</t>
        </is>
      </c>
    </row>
    <row r="9">
      <c r="A9" s="21" t="inlineStr">
        <is>
          <t>[  ]</t>
        </is>
      </c>
      <c r="B9" s="22" t="inlineStr">
        <is>
          <t>I start the live stream (first start fetches 5 years, ~30-60s). Data goes live.</t>
        </is>
      </c>
      <c r="C9" s="21" t="inlineStr">
        <is>
          <t>Claude</t>
        </is>
      </c>
    </row>
    <row r="10" ht="20" customHeight="1" s="36">
      <c r="A10" s="32" t="inlineStr">
        <is>
          <t>PHASE B - The watch (9:15-15:30) - I alert on every 5-min close</t>
        </is>
      </c>
      <c r="B10" s="33" t="n"/>
      <c r="C10" s="34" t="n"/>
    </row>
    <row r="11">
      <c r="A11" s="21" t="inlineStr">
        <is>
          <t>[  ]</t>
        </is>
      </c>
      <c r="B11" s="22" t="inlineStr">
        <is>
          <t>NEAR  = price arrived at a level. Just watch, NO action.</t>
        </is>
      </c>
      <c r="C11" s="21" t="inlineStr">
        <is>
          <t>Claude</t>
        </is>
      </c>
    </row>
    <row r="12">
      <c r="A12" s="21" t="inlineStr">
        <is>
          <t>[  ]</t>
        </is>
      </c>
      <c r="B12" s="22" t="inlineStr">
        <is>
          <t>BREAK = a decisive 5-min CLOSE through a level. It flips role; now wait for the retest.</t>
        </is>
      </c>
      <c r="C12" s="21" t="inlineStr">
        <is>
          <t>Claude</t>
        </is>
      </c>
    </row>
    <row r="13">
      <c r="A13" s="21" t="inlineStr">
        <is>
          <t>[  ]</t>
        </is>
      </c>
      <c r="B13" s="22" t="inlineStr">
        <is>
          <t>FLIP CONFIRMED = price returns, retests the broken level, and HOLDS. This is the ONLY trade trigger.</t>
        </is>
      </c>
      <c r="C13" s="21" t="inlineStr">
        <is>
          <t>Claude</t>
        </is>
      </c>
    </row>
    <row r="14" ht="20" customHeight="1" s="36">
      <c r="A14" s="32" t="inlineStr">
        <is>
          <t>PHASE C - Taking the call (only on FLIP CONFIRMED)</t>
        </is>
      </c>
      <c r="B14" s="33" t="n"/>
      <c r="C14" s="34" t="n"/>
    </row>
    <row r="15">
      <c r="A15" s="28" t="inlineStr">
        <is>
          <t>[  ]</t>
        </is>
      </c>
      <c r="B15" s="29" t="inlineStr">
        <is>
          <t>GATE 1: it is a confirmed break-AND-retest (not price sitting at a level, not inside the opening box).</t>
        </is>
      </c>
      <c r="C15" s="28" t="n"/>
    </row>
    <row r="16">
      <c r="A16" s="28" t="inlineStr">
        <is>
          <t>[  ]</t>
        </is>
      </c>
      <c r="B16" s="29" t="inlineStr">
        <is>
          <t>GATE 2: the level is STRONG - high 5-yr touches, ideally a 5-min + 15-min confluence zone.</t>
        </is>
      </c>
      <c r="C16" s="28" t="n"/>
    </row>
    <row r="17">
      <c r="A17" s="28" t="inlineStr">
        <is>
          <t>[  ]</t>
        </is>
      </c>
      <c r="B17" s="29" t="inlineStr">
        <is>
          <t>GATE 3: the break was a clean 5-min close past the level, and the retest is holding.</t>
        </is>
      </c>
      <c r="C17" s="28" t="n"/>
    </row>
    <row r="18">
      <c r="A18" s="28" t="inlineStr">
        <is>
          <t>[  ]</t>
        </is>
      </c>
      <c r="B18" s="29" t="inlineStr">
        <is>
          <t>GATE 4: VIX regime gives room (calm day -&gt; a ~40-pt target is realistic).  If ANY gate fails -&gt; NO TRADE.</t>
        </is>
      </c>
      <c r="C18" s="28" t="n"/>
    </row>
    <row r="19">
      <c r="A19" s="21" t="inlineStr">
        <is>
          <t>[  ]</t>
        </is>
      </c>
      <c r="B19" s="22" t="inlineStr">
        <is>
          <t>Direction -&gt; option:  LONG = buy CE,  SHORT = buy PE.  Strike = ATM or one strike ITM nearest the flip level.</t>
        </is>
      </c>
      <c r="C19" s="21" t="inlineStr">
        <is>
          <t>Claude</t>
        </is>
      </c>
    </row>
    <row r="20" ht="25" customHeight="1" s="36">
      <c r="A20" s="21" t="inlineStr">
        <is>
          <t>[  ]</t>
        </is>
      </c>
      <c r="B20" s="22" t="inlineStr">
        <is>
          <t>I pull the LIVE contract and sanity-check it: bid-ask spread tight? delta ~0.5-0.6? theta not brutal (esp. expiry day)? Bad economics = SKIP even if the index setup is clean.</t>
        </is>
      </c>
      <c r="C20" s="21" t="inlineStr">
        <is>
          <t>Claude</t>
        </is>
      </c>
    </row>
    <row r="21">
      <c r="A21" s="21" t="inlineStr">
        <is>
          <t>[  ]</t>
        </is>
      </c>
      <c r="B21" s="22" t="inlineStr">
        <is>
          <t>I give the plan in numbers: entry (the level), stop -25, target +40 (bank half), trail the rest by 25, and the R:R.</t>
        </is>
      </c>
      <c r="C21" s="21" t="inlineStr">
        <is>
          <t>Claude</t>
        </is>
      </c>
    </row>
    <row r="22" ht="20" customHeight="1" s="36">
      <c r="A22" s="32" t="inlineStr">
        <is>
          <t>PHASE D - Place it (I never place orders or touch your login)</t>
        </is>
      </c>
      <c r="B22" s="33" t="n"/>
      <c r="C22" s="34" t="n"/>
    </row>
    <row r="23">
      <c r="A23" s="21" t="inlineStr">
        <is>
          <t>[  ]</t>
        </is>
      </c>
      <c r="B23" s="22" t="inlineStr">
        <is>
          <t>You take the PAPER trade on your side. Tell me the entry price and I log it to the journal.</t>
        </is>
      </c>
      <c r="C23" s="21" t="inlineStr">
        <is>
          <t>You</t>
        </is>
      </c>
    </row>
    <row r="24" ht="20" customHeight="1" s="36">
      <c r="A24" s="32" t="inlineStr">
        <is>
          <t>PHASE E - Manage the trade</t>
        </is>
      </c>
      <c r="B24" s="33" t="n"/>
      <c r="C24" s="34" t="n"/>
    </row>
    <row r="25">
      <c r="A25" s="21" t="inlineStr">
        <is>
          <t>[  ]</t>
        </is>
      </c>
      <c r="B25" s="22" t="inlineStr">
        <is>
          <t>Bank HALF at +40. Trail the runner by 25 (floored at breakeven). Hard STOP at -25.</t>
        </is>
      </c>
      <c r="C25" s="21" t="inlineStr">
        <is>
          <t>You</t>
        </is>
      </c>
    </row>
    <row r="26">
      <c r="A26" s="21" t="inlineStr">
        <is>
          <t>[  ]</t>
        </is>
      </c>
      <c r="B26" s="22" t="inlineStr">
        <is>
          <t>Invalidation: if price closes back through the level the wrong way, the flip is dead - EXIT.</t>
        </is>
      </c>
      <c r="C26" s="21" t="inlineStr">
        <is>
          <t>You</t>
        </is>
      </c>
    </row>
    <row r="27" ht="20" customHeight="1" s="36">
      <c r="A27" s="32" t="inlineStr">
        <is>
          <t>PHASE F - End of day (after 15:30)</t>
        </is>
      </c>
      <c r="B27" s="33" t="n"/>
      <c r="C27" s="34" t="n"/>
    </row>
    <row r="28" ht="25" customHeight="1" s="36">
      <c r="A28" s="21" t="inlineStr">
        <is>
          <t>[  ]</t>
        </is>
      </c>
      <c r="B28" s="22" t="inlineStr">
        <is>
          <t>I run the EOD pass: did the levels hold (highlighter), log the result + any trade, note today's close for tomorrow's anchor, record the lesson.</t>
        </is>
      </c>
      <c r="C28" s="21" t="inlineStr">
        <is>
          <t>Claude</t>
        </is>
      </c>
    </row>
    <row r="30" ht="30" customHeight="1" s="36">
      <c r="A30" s="37" t="inlineStr">
        <is>
          <t>GOLDEN RULE: the edge is the CONFIRMED break-and-retest at a STRONG level. Do not fade levels, do not act on NEAR, do not force a trade on a quiet day.</t>
        </is>
      </c>
      <c r="B30" s="33" t="n"/>
      <c r="C30" s="34" t="n"/>
    </row>
  </sheetData>
  <mergeCells count="9">
    <mergeCell ref="A10:C10"/>
    <mergeCell ref="A1:C1"/>
    <mergeCell ref="A5:C5"/>
    <mergeCell ref="A14:C14"/>
    <mergeCell ref="A22:C22"/>
    <mergeCell ref="A27:C27"/>
    <mergeCell ref="A30:C30"/>
    <mergeCell ref="A24:C24"/>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0"/>
  <sheetViews>
    <sheetView tabSelected="1" topLeftCell="J1" workbookViewId="0">
      <pane ySplit="1" topLeftCell="A5" activePane="bottomLeft" state="frozen"/>
      <selection pane="bottomLeft" activeCell="U6" sqref="U6"/>
    </sheetView>
  </sheetViews>
  <sheetFormatPr baseColWidth="8" defaultRowHeight="14.5"/>
  <cols>
    <col width="12" customWidth="1" style="36" min="1" max="1"/>
    <col width="11" customWidth="1" style="36" min="2" max="2"/>
    <col width="10" customWidth="1" style="36" min="3" max="5"/>
    <col width="12" customWidth="1" style="36" min="6" max="7"/>
    <col width="11" customWidth="1" style="36" min="8" max="8"/>
    <col width="12" customWidth="1" style="36" min="9" max="9"/>
    <col width="11" customWidth="1" style="36" min="10" max="11"/>
    <col width="10" customWidth="1" style="36" min="12" max="13"/>
    <col width="11" customWidth="1" style="36" min="14" max="14"/>
    <col width="8" customWidth="1" style="36" min="15" max="16"/>
    <col width="14" customWidth="1" style="36" min="17" max="18"/>
    <col width="8" customWidth="1" style="36" min="19" max="19"/>
    <col width="24" customWidth="1" style="36" min="20" max="20"/>
    <col width="40" customWidth="1" style="36" min="21" max="21"/>
  </cols>
  <sheetData>
    <row r="1">
      <c r="A1" s="8" t="inlineStr">
        <is>
          <t>Date</t>
        </is>
      </c>
      <c r="B1" s="8" t="inlineStr">
        <is>
          <t>NIFTY Spot</t>
        </is>
      </c>
      <c r="C1" s="8" t="inlineStr">
        <is>
          <t>Prev High</t>
        </is>
      </c>
      <c r="D1" s="8" t="inlineStr">
        <is>
          <t>Prev Low</t>
        </is>
      </c>
      <c r="E1" s="8" t="inlineStr">
        <is>
          <t>Prev Close</t>
        </is>
      </c>
      <c r="F1" s="8" t="inlineStr">
        <is>
          <t>Open Rng High</t>
        </is>
      </c>
      <c r="G1" s="8" t="inlineStr">
        <is>
          <t>Open Rng Low</t>
        </is>
      </c>
      <c r="H1" s="8" t="inlineStr">
        <is>
          <t>Key Support</t>
        </is>
      </c>
      <c r="I1" s="8" t="inlineStr">
        <is>
          <t>Key Resistance</t>
        </is>
      </c>
      <c r="J1" s="8" t="inlineStr">
        <is>
          <t>PE OI Wall</t>
        </is>
      </c>
      <c r="K1" s="8" t="inlineStr">
        <is>
          <t>CE OI Wall</t>
        </is>
      </c>
      <c r="L1" s="8" t="inlineStr">
        <is>
          <t>VWAP</t>
        </is>
      </c>
      <c r="M1" s="8" t="inlineStr">
        <is>
          <t>VWAP Dist</t>
        </is>
      </c>
      <c r="N1" s="8" t="inlineStr">
        <is>
          <t>EMA Trend</t>
        </is>
      </c>
      <c r="O1" s="8" t="inlineStr">
        <is>
          <t>RSI</t>
        </is>
      </c>
      <c r="P1" s="8" t="inlineStr">
        <is>
          <t>ATR</t>
        </is>
      </c>
      <c r="Q1" s="8" t="inlineStr">
        <is>
          <t>Regime</t>
        </is>
      </c>
      <c r="R1" s="8" t="inlineStr">
        <is>
          <t>Scanner Verdict</t>
        </is>
      </c>
      <c r="S1" s="8" t="inlineStr">
        <is>
          <t>Score</t>
        </is>
      </c>
      <c r="T1" s="8" t="inlineStr">
        <is>
          <t>Selected Contract</t>
        </is>
      </c>
      <c r="U1" s="8" t="inlineStr">
        <is>
          <t>Notes</t>
        </is>
      </c>
    </row>
    <row r="2" ht="26" customHeight="1" s="36">
      <c r="A2" s="9" t="inlineStr">
        <is>
          <t>2026-09-03</t>
        </is>
      </c>
      <c r="B2" s="9" t="n">
        <v>25180</v>
      </c>
      <c r="C2" s="9" t="n">
        <v>25210</v>
      </c>
      <c r="D2" s="9" t="n">
        <v>24980</v>
      </c>
      <c r="E2" s="9" t="n">
        <v>25060</v>
      </c>
      <c r="F2" s="9" t="n">
        <v>25195</v>
      </c>
      <c r="G2" s="9" t="n">
        <v>25120</v>
      </c>
      <c r="H2" s="9" t="n">
        <v>25120</v>
      </c>
      <c r="I2" s="9" t="n">
        <v>25200</v>
      </c>
      <c r="J2" s="9" t="n">
        <v>25000</v>
      </c>
      <c r="K2" s="9" t="n">
        <v>25300</v>
      </c>
      <c r="L2" s="9" t="n">
        <v>25172.5</v>
      </c>
      <c r="M2" s="9" t="n">
        <v>7.5</v>
      </c>
      <c r="N2" s="9" t="inlineStr">
        <is>
          <t>Bullish</t>
        </is>
      </c>
      <c r="O2" s="9" t="n">
        <v>61.2</v>
      </c>
      <c r="P2" s="9" t="n">
        <v>42.5</v>
      </c>
      <c r="Q2" s="9" t="inlineStr">
        <is>
          <t>BULLISH</t>
        </is>
      </c>
      <c r="R2" s="9" t="inlineStr">
        <is>
          <t>NO TRADE</t>
        </is>
      </c>
      <c r="S2" s="9" t="n">
        <v>58</v>
      </c>
      <c r="T2" s="9" t="inlineStr">
        <is>
          <t>NIFTY 2026-09-03 25200 CE (ATM ~0.47d)</t>
        </is>
      </c>
      <c r="U2" s="10" t="inlineStr">
        <is>
          <t>Breakout not confirmed; PCR conflicted. Sat out.</t>
        </is>
      </c>
    </row>
    <row r="3" ht="62.5" customHeight="1" s="36">
      <c r="A3" s="21" t="inlineStr">
        <is>
          <t>2026-09-03</t>
        </is>
      </c>
      <c r="B3" s="21" t="n">
        <v>24120</v>
      </c>
      <c r="C3" s="11" t="n"/>
      <c r="D3" s="11" t="n"/>
      <c r="E3" s="11" t="n"/>
      <c r="F3" s="11" t="n"/>
      <c r="G3" s="11" t="n"/>
      <c r="H3" s="11" t="n"/>
      <c r="I3" s="11" t="n"/>
      <c r="J3" s="11" t="n"/>
      <c r="K3" s="11" t="n"/>
      <c r="L3" s="21" t="n">
        <v>24112.53</v>
      </c>
      <c r="M3" s="12">
        <f>IF(OR(B3="",L3=""),"",B3-L3)</f>
        <v/>
      </c>
      <c r="N3" s="21" t="inlineStr">
        <is>
          <t>Mixed</t>
        </is>
      </c>
      <c r="O3" s="21" t="n">
        <v>44.3</v>
      </c>
      <c r="P3" s="21" t="n">
        <v>9.210000000000001</v>
      </c>
      <c r="Q3" s="21" t="inlineStr">
        <is>
          <t>BULLISH</t>
        </is>
      </c>
      <c r="R3" s="21" t="inlineStr">
        <is>
          <t>NO TRADE</t>
        </is>
      </c>
      <c r="S3" s="21" t="n">
        <v>8</v>
      </c>
      <c r="T3" s="22" t="inlineStr">
        <is>
          <t>None</t>
        </is>
      </c>
      <c r="U3" s="22" t="inlineStr">
        <is>
          <t>Rangebound / choppy. Mixed EMAs, price glued to VWAP, no directional bias. Scanner NO TRADE (score 8) whenever observed (~10:16 IST). Only spot-checked, not continuously monitored; no persistence. No trade taken.</t>
        </is>
      </c>
    </row>
    <row r="4" ht="100" customHeight="1" s="36">
      <c r="A4" s="21" t="inlineStr">
        <is>
          <t>2026-09-09</t>
        </is>
      </c>
      <c r="B4" s="21" t="n">
        <v>23431.5</v>
      </c>
      <c r="C4" s="11" t="n"/>
      <c r="D4" s="11" t="n"/>
      <c r="E4" s="21" t="n">
        <v>23635.1</v>
      </c>
      <c r="F4" s="11" t="n"/>
      <c r="G4" s="11" t="n"/>
      <c r="H4" s="23" t="n">
        <v>23464</v>
      </c>
      <c r="I4" s="24" t="n">
        <v>23565</v>
      </c>
      <c r="J4" s="11" t="n"/>
      <c r="K4" s="11" t="n"/>
      <c r="L4" s="21" t="n"/>
      <c r="M4" s="12">
        <f>IF(OR(B4="",L4=""),"",B4-L4)</f>
        <v/>
      </c>
      <c r="N4" s="21" t="inlineStr">
        <is>
          <t>Bearish</t>
        </is>
      </c>
      <c r="O4" s="21" t="n">
        <v>38</v>
      </c>
      <c r="P4" s="21" t="n">
        <v>9</v>
      </c>
      <c r="Q4" s="21" t="inlineStr">
        <is>
          <t>BEARISH</t>
        </is>
      </c>
      <c r="R4" s="21" t="inlineStr">
        <is>
          <t>NO TRADE</t>
        </is>
      </c>
      <c r="S4" s="21" t="n">
        <v>0</v>
      </c>
      <c r="T4" s="22" t="inlineStr">
        <is>
          <t>23565 CE-side reject (SHORT day)</t>
        </is>
      </c>
      <c r="U4" s="22" t="inlineStr">
        <is>
          <t>Gapped down (open 23522, prev close 23635). Tagged 23565 resistance (13 touches) at the high 23571.55 and REJECTED, then sold off all day to close at the low 23431.50 (range ~140). 23464 support bounced the 10:00 low (23466) but broke by close. VIX ~11.6 calm. First live day of the S/R flip; scanner flagged a CONFIRMED SHORT ~14:55.</t>
        </is>
      </c>
    </row>
    <row r="5" ht="187.5" customHeight="1" s="36">
      <c r="A5" s="21" t="inlineStr">
        <is>
          <t>2026-09-10</t>
        </is>
      </c>
      <c r="B5" s="21" t="n">
        <v>23416.3</v>
      </c>
      <c r="C5" s="11" t="n"/>
      <c r="D5" s="11" t="n"/>
      <c r="E5" s="21" t="n">
        <v>23431.5</v>
      </c>
      <c r="F5" s="11" t="n"/>
      <c r="G5" s="11" t="n"/>
      <c r="H5" s="24" t="n">
        <v>23435</v>
      </c>
      <c r="I5" s="24" t="n">
        <v>23461</v>
      </c>
      <c r="J5" s="11" t="n"/>
      <c r="K5" s="11" t="n"/>
      <c r="L5" s="11" t="n"/>
      <c r="M5" s="12">
        <f>IF(OR(B5="",L5=""),"",B5-L5)</f>
        <v/>
      </c>
      <c r="N5" s="21" t="inlineStr">
        <is>
          <t>Flat</t>
        </is>
      </c>
      <c r="O5" s="11" t="n"/>
      <c r="P5" s="11" t="n"/>
      <c r="Q5" s="21" t="inlineStr">
        <is>
          <t>SIDEWAYS</t>
        </is>
      </c>
      <c r="R5" s="21" t="inlineStr">
        <is>
          <t>NO TRADE</t>
        </is>
      </c>
      <c r="S5" s="21" t="n">
        <v>0</v>
      </c>
      <c r="T5" s="22" t="inlineStr">
        <is>
          <t>-</t>
        </is>
      </c>
      <c r="U5" s="22" t="inlineStr">
        <is>
          <t>Calm range day. Open 23446.6, continuous close ~23416.3 (ignore the 23477.8 print - a feed gap froze 15:15/15:20 then a +88 final bar). Continuous range only 115 pts (23380-23495). Levels now 5-YEAR backtested (92,652 5-min bars, 5.0 yrs), anchored on OPEN 23446.5. EVERY level price reached held as S/R, zero breaks: 23461 resistance capped every rally (5 rejects), 23435 was the pivot (15 rejects), 23412 caught the dip (10 rejects), the 23380 low reversed at 23374. VIX 11.98 calm. Scanner correctly NO TRADE all day - a flip needs a break to retest, and there was none. Sitting out a coil is the edge, not a miss.</t>
        </is>
      </c>
    </row>
    <row r="6">
      <c r="A6" s="11" t="inlineStr">
        <is>
          <t>2026-09-11</t>
        </is>
      </c>
      <c r="B6" s="11" t="n">
        <v>23413.7</v>
      </c>
      <c r="C6" s="11" t="n">
        <v>23495</v>
      </c>
      <c r="D6" s="11" t="n">
        <v>23380</v>
      </c>
      <c r="E6" s="11" t="n">
        <v>23477</v>
      </c>
      <c r="F6" s="11" t="n"/>
      <c r="G6" s="11" t="n"/>
      <c r="H6" s="11" t="n">
        <v>23263</v>
      </c>
      <c r="I6" s="11" t="n">
        <v>23352</v>
      </c>
      <c r="J6" s="11" t="n"/>
      <c r="K6" s="11" t="n"/>
      <c r="L6" s="11" t="n"/>
      <c r="M6" s="12">
        <f>IF(OR(B6="",L6=""),"",B6-L6)</f>
        <v/>
      </c>
      <c r="N6" s="11" t="n"/>
      <c r="O6" s="11" t="n"/>
      <c r="P6" s="11" t="n"/>
      <c r="Q6" s="11" t="inlineStr">
        <is>
          <t>Normal (VIX 12.53)</t>
        </is>
      </c>
      <c r="R6" s="11" t="inlineStr">
        <is>
          <t>2 CONFIRMED FLIPS - both WIN</t>
        </is>
      </c>
      <c r="S6" s="11" t="n">
        <v>85</v>
      </c>
      <c r="T6" s="11" t="inlineStr">
        <is>
          <t>23300 CE / 23450 PE</t>
        </is>
      </c>
      <c r="U6" s="11" t="inlineStr">
        <is>
          <t>Gap DOWN -207 onto 23263 (opened on the level). 23263 support HELD (3 rejects). Ranged 23263-23352 into midday, then broke up: LONG flip off 23352 (+Rs1,345 on 23300CE) and, after topping at 23435, SHORT flip on the 23435 retest (+Rs1,120 on 23450PE). Day range 217pts, high 23448 / low 23231 / close ~23414. Two clean flips, +Rs2,465 total.</t>
        </is>
      </c>
    </row>
    <row r="7">
      <c r="A7" s="11" t="inlineStr">
        <is>
          <t>2026-09-15</t>
        </is>
      </c>
      <c r="B7" s="11" t="n">
        <v>23118.6</v>
      </c>
      <c r="C7" s="11" t="n">
        <v>23448</v>
      </c>
      <c r="D7" s="11" t="n">
        <v>23231</v>
      </c>
      <c r="E7" s="11" t="n">
        <v>23398.1</v>
      </c>
      <c r="F7" s="11" t="n"/>
      <c r="G7" s="11" t="n"/>
      <c r="H7" s="11" t="n">
        <v>23319</v>
      </c>
      <c r="I7" s="11" t="n">
        <v>23435</v>
      </c>
      <c r="J7" s="11" t="n"/>
      <c r="K7" s="11" t="n"/>
      <c r="L7" s="11" t="n"/>
      <c r="M7" s="12">
        <f>IF(OR(B7="",L7=""),"",B7-L7)</f>
        <v/>
      </c>
      <c r="N7" s="11" t="n"/>
      <c r="O7" s="11" t="n"/>
      <c r="P7" s="11" t="n"/>
      <c r="Q7" s="11" t="inlineStr">
        <is>
          <t>Normal (VIX 12.29) - but range blew past it</t>
        </is>
      </c>
      <c r="R7" s="11" t="inlineStr">
        <is>
          <t>1 SHORT taken - WIN +Rs8,450</t>
        </is>
      </c>
      <c r="S7" s="11" t="n">
        <v>85</v>
      </c>
      <c r="T7" s="11" t="inlineStr">
        <is>
          <t>NIFTY 2026-09-15 23700 PE</t>
        </is>
      </c>
      <c r="U7" s="11" t="inlineStr">
        <is>
          <t>Gap UP +178 to 23576, tagged 23592 then RELENTLESS one-way sell - closed AT the low 23118.6 (range 474pts, far beyond VIX ~150-200). Flips all SHORT and correct. TRADE TAKEN: shorted the 09:25 retest (23500) via 23700 PE deep-ITM, held the trend to 12:30 = +Rs8,450 (235-&gt;365). Being at the screen for the retest is what captured it - the confirm-relay loop alone would have been ~20pts late. Levels gave reactions (23374/23319/23294/23263 rejects) but none held - trend day.</t>
        </is>
      </c>
    </row>
    <row r="8">
      <c r="A8" s="11" t="n"/>
      <c r="B8" s="11" t="n"/>
      <c r="C8" s="11" t="n"/>
      <c r="D8" s="11" t="n"/>
      <c r="E8" s="11" t="n"/>
      <c r="F8" s="11" t="n"/>
      <c r="G8" s="11" t="n"/>
      <c r="H8" s="11" t="n"/>
      <c r="I8" s="11" t="n"/>
      <c r="J8" s="11" t="n"/>
      <c r="K8" s="11" t="n"/>
      <c r="L8" s="11" t="n"/>
      <c r="M8" s="12">
        <f>IF(OR(B8="",L8=""),"",B8-L8)</f>
        <v/>
      </c>
      <c r="N8" s="11" t="n"/>
      <c r="O8" s="11" t="n"/>
      <c r="P8" s="11" t="n"/>
      <c r="Q8" s="11" t="n"/>
      <c r="R8" s="11" t="n"/>
      <c r="S8" s="11" t="n"/>
      <c r="T8" s="11" t="n"/>
      <c r="U8" s="11" t="n"/>
    </row>
    <row r="9">
      <c r="A9" s="11" t="n"/>
      <c r="B9" s="11" t="n"/>
      <c r="C9" s="11" t="n"/>
      <c r="D9" s="11" t="n"/>
      <c r="E9" s="11" t="n"/>
      <c r="F9" s="11" t="n"/>
      <c r="G9" s="11" t="n"/>
      <c r="H9" s="11" t="n"/>
      <c r="I9" s="11" t="n"/>
      <c r="J9" s="11" t="n"/>
      <c r="K9" s="11" t="n"/>
      <c r="L9" s="11" t="n"/>
      <c r="M9" s="12">
        <f>IF(OR(B9="",L9=""),"",B9-L9)</f>
        <v/>
      </c>
      <c r="N9" s="11" t="n"/>
      <c r="O9" s="11" t="n"/>
      <c r="P9" s="11" t="n"/>
      <c r="Q9" s="11" t="n"/>
      <c r="R9" s="11" t="n"/>
      <c r="S9" s="11" t="n"/>
      <c r="T9" s="11" t="n"/>
      <c r="U9" s="11" t="n"/>
    </row>
    <row r="10">
      <c r="A10" s="11" t="n"/>
      <c r="B10" s="11" t="n"/>
      <c r="C10" s="11" t="n"/>
      <c r="D10" s="11" t="n"/>
      <c r="E10" s="11" t="n"/>
      <c r="F10" s="11" t="n"/>
      <c r="G10" s="11" t="n"/>
      <c r="H10" s="11" t="n"/>
      <c r="I10" s="11" t="n"/>
      <c r="J10" s="11" t="n"/>
      <c r="K10" s="11" t="n"/>
      <c r="L10" s="11" t="n"/>
      <c r="M10" s="12">
        <f>IF(OR(B10="",L10=""),"",B10-L10)</f>
        <v/>
      </c>
      <c r="N10" s="11" t="n"/>
      <c r="O10" s="11" t="n"/>
      <c r="P10" s="11" t="n"/>
      <c r="Q10" s="11" t="n"/>
      <c r="R10" s="11" t="n"/>
      <c r="S10" s="11" t="n"/>
      <c r="T10" s="11" t="n"/>
      <c r="U10" s="11" t="n"/>
    </row>
    <row r="11">
      <c r="A11" s="11" t="n"/>
      <c r="B11" s="11" t="n"/>
      <c r="C11" s="11" t="n"/>
      <c r="D11" s="11" t="n"/>
      <c r="E11" s="11" t="n"/>
      <c r="F11" s="11" t="n"/>
      <c r="G11" s="11" t="n"/>
      <c r="H11" s="11" t="n"/>
      <c r="I11" s="11" t="n"/>
      <c r="J11" s="11" t="n"/>
      <c r="K11" s="11" t="n"/>
      <c r="L11" s="11" t="n"/>
      <c r="M11" s="12">
        <f>IF(OR(B11="",L11=""),"",B11-L11)</f>
        <v/>
      </c>
      <c r="N11" s="11" t="n"/>
      <c r="O11" s="11" t="n"/>
      <c r="P11" s="11" t="n"/>
      <c r="Q11" s="11" t="n"/>
      <c r="R11" s="11" t="n"/>
      <c r="S11" s="11" t="n"/>
      <c r="T11" s="11" t="n"/>
      <c r="U11" s="11" t="n"/>
    </row>
    <row r="12">
      <c r="A12" s="11" t="n"/>
      <c r="B12" s="11" t="n"/>
      <c r="C12" s="11" t="n"/>
      <c r="D12" s="11" t="n"/>
      <c r="E12" s="11" t="n"/>
      <c r="F12" s="11" t="n"/>
      <c r="G12" s="11" t="n"/>
      <c r="H12" s="11" t="n"/>
      <c r="I12" s="11" t="n"/>
      <c r="J12" s="11" t="n"/>
      <c r="K12" s="11" t="n"/>
      <c r="L12" s="11" t="n"/>
      <c r="M12" s="12">
        <f>IF(OR(B12="",L12=""),"",B12-L12)</f>
        <v/>
      </c>
      <c r="N12" s="11" t="n"/>
      <c r="O12" s="11" t="n"/>
      <c r="P12" s="11" t="n"/>
      <c r="Q12" s="11" t="n"/>
      <c r="R12" s="11" t="n"/>
      <c r="S12" s="11" t="n"/>
      <c r="T12" s="11" t="n"/>
      <c r="U12" s="11" t="n"/>
    </row>
    <row r="13">
      <c r="A13" s="11" t="n"/>
      <c r="B13" s="11" t="n"/>
      <c r="C13" s="11" t="n"/>
      <c r="D13" s="11" t="n"/>
      <c r="E13" s="11" t="n"/>
      <c r="F13" s="11" t="n"/>
      <c r="G13" s="11" t="n"/>
      <c r="H13" s="11" t="n"/>
      <c r="I13" s="11" t="n"/>
      <c r="J13" s="11" t="n"/>
      <c r="K13" s="11" t="n"/>
      <c r="L13" s="11" t="n"/>
      <c r="M13" s="12">
        <f>IF(OR(B13="",L13=""),"",B13-L13)</f>
        <v/>
      </c>
      <c r="N13" s="11" t="n"/>
      <c r="O13" s="11" t="n"/>
      <c r="P13" s="11" t="n"/>
      <c r="Q13" s="11" t="n"/>
      <c r="R13" s="11" t="n"/>
      <c r="S13" s="11" t="n"/>
      <c r="T13" s="11" t="n"/>
      <c r="U13" s="11" t="n"/>
    </row>
    <row r="14">
      <c r="A14" s="11" t="n"/>
      <c r="B14" s="11" t="n"/>
      <c r="C14" s="11" t="n"/>
      <c r="D14" s="11" t="n"/>
      <c r="E14" s="11" t="n"/>
      <c r="F14" s="11" t="n"/>
      <c r="G14" s="11" t="n"/>
      <c r="H14" s="11" t="n"/>
      <c r="I14" s="11" t="n"/>
      <c r="J14" s="11" t="n"/>
      <c r="K14" s="11" t="n"/>
      <c r="L14" s="11" t="n"/>
      <c r="M14" s="12">
        <f>IF(OR(B14="",L14=""),"",B14-L14)</f>
        <v/>
      </c>
      <c r="N14" s="11" t="n"/>
      <c r="O14" s="11" t="n"/>
      <c r="P14" s="11" t="n"/>
      <c r="Q14" s="11" t="n"/>
      <c r="R14" s="11" t="n"/>
      <c r="S14" s="11" t="n"/>
      <c r="T14" s="11" t="n"/>
      <c r="U14" s="11" t="n"/>
    </row>
    <row r="15">
      <c r="A15" s="11" t="n"/>
      <c r="B15" s="11" t="n"/>
      <c r="C15" s="11" t="n"/>
      <c r="D15" s="11" t="n"/>
      <c r="E15" s="11" t="n"/>
      <c r="F15" s="11" t="n"/>
      <c r="G15" s="11" t="n"/>
      <c r="H15" s="11" t="n"/>
      <c r="I15" s="11" t="n"/>
      <c r="J15" s="11" t="n"/>
      <c r="K15" s="11" t="n"/>
      <c r="L15" s="11" t="n"/>
      <c r="M15" s="12">
        <f>IF(OR(B15="",L15=""),"",B15-L15)</f>
        <v/>
      </c>
      <c r="N15" s="11" t="n"/>
      <c r="O15" s="11" t="n"/>
      <c r="P15" s="11" t="n"/>
      <c r="Q15" s="11" t="n"/>
      <c r="R15" s="11" t="n"/>
      <c r="S15" s="11" t="n"/>
      <c r="T15" s="11" t="n"/>
      <c r="U15" s="11" t="n"/>
    </row>
    <row r="16">
      <c r="A16" s="11" t="n"/>
      <c r="B16" s="11" t="n"/>
      <c r="C16" s="11" t="n"/>
      <c r="D16" s="11" t="n"/>
      <c r="E16" s="11" t="n"/>
      <c r="F16" s="11" t="n"/>
      <c r="G16" s="11" t="n"/>
      <c r="H16" s="11" t="n"/>
      <c r="I16" s="11" t="n"/>
      <c r="J16" s="11" t="n"/>
      <c r="K16" s="11" t="n"/>
      <c r="L16" s="11" t="n"/>
      <c r="M16" s="12">
        <f>IF(OR(B16="",L16=""),"",B16-L16)</f>
        <v/>
      </c>
      <c r="N16" s="11" t="n"/>
      <c r="O16" s="11" t="n"/>
      <c r="P16" s="11" t="n"/>
      <c r="Q16" s="11" t="n"/>
      <c r="R16" s="11" t="n"/>
      <c r="S16" s="11" t="n"/>
      <c r="T16" s="11" t="n"/>
      <c r="U16" s="11" t="n"/>
    </row>
    <row r="17">
      <c r="A17" s="11" t="n"/>
      <c r="B17" s="11" t="n"/>
      <c r="C17" s="11" t="n"/>
      <c r="D17" s="11" t="n"/>
      <c r="E17" s="11" t="n"/>
      <c r="F17" s="11" t="n"/>
      <c r="G17" s="11" t="n"/>
      <c r="H17" s="11" t="n"/>
      <c r="I17" s="11" t="n"/>
      <c r="J17" s="11" t="n"/>
      <c r="K17" s="11" t="n"/>
      <c r="L17" s="11" t="n"/>
      <c r="M17" s="12">
        <f>IF(OR(B17="",L17=""),"",B17-L17)</f>
        <v/>
      </c>
      <c r="N17" s="11" t="n"/>
      <c r="O17" s="11" t="n"/>
      <c r="P17" s="11" t="n"/>
      <c r="Q17" s="11" t="n"/>
      <c r="R17" s="11" t="n"/>
      <c r="S17" s="11" t="n"/>
      <c r="T17" s="11" t="n"/>
      <c r="U17" s="11" t="n"/>
    </row>
    <row r="18">
      <c r="A18" s="11" t="n"/>
      <c r="B18" s="11" t="n"/>
      <c r="C18" s="11" t="n"/>
      <c r="D18" s="11" t="n"/>
      <c r="E18" s="11" t="n"/>
      <c r="F18" s="11" t="n"/>
      <c r="G18" s="11" t="n"/>
      <c r="H18" s="11" t="n"/>
      <c r="I18" s="11" t="n"/>
      <c r="J18" s="11" t="n"/>
      <c r="K18" s="11" t="n"/>
      <c r="L18" s="11" t="n"/>
      <c r="M18" s="12">
        <f>IF(OR(B18="",L18=""),"",B18-L18)</f>
        <v/>
      </c>
      <c r="N18" s="11" t="n"/>
      <c r="O18" s="11" t="n"/>
      <c r="P18" s="11" t="n"/>
      <c r="Q18" s="11" t="n"/>
      <c r="R18" s="11" t="n"/>
      <c r="S18" s="11" t="n"/>
      <c r="T18" s="11" t="n"/>
      <c r="U18" s="11" t="n"/>
    </row>
    <row r="19">
      <c r="A19" s="11" t="n"/>
      <c r="B19" s="11" t="n"/>
      <c r="C19" s="11" t="n"/>
      <c r="D19" s="11" t="n"/>
      <c r="E19" s="11" t="n"/>
      <c r="F19" s="11" t="n"/>
      <c r="G19" s="11" t="n"/>
      <c r="H19" s="11" t="n"/>
      <c r="I19" s="11" t="n"/>
      <c r="J19" s="11" t="n"/>
      <c r="K19" s="11" t="n"/>
      <c r="L19" s="11" t="n"/>
      <c r="M19" s="12">
        <f>IF(OR(B19="",L19=""),"",B19-L19)</f>
        <v/>
      </c>
      <c r="N19" s="11" t="n"/>
      <c r="O19" s="11" t="n"/>
      <c r="P19" s="11" t="n"/>
      <c r="Q19" s="11" t="n"/>
      <c r="R19" s="11" t="n"/>
      <c r="S19" s="11" t="n"/>
      <c r="T19" s="11" t="n"/>
      <c r="U19" s="11" t="n"/>
    </row>
    <row r="20">
      <c r="A20" s="11" t="n"/>
      <c r="B20" s="11" t="n"/>
      <c r="C20" s="11" t="n"/>
      <c r="D20" s="11" t="n"/>
      <c r="E20" s="11" t="n"/>
      <c r="F20" s="11" t="n"/>
      <c r="G20" s="11" t="n"/>
      <c r="H20" s="11" t="n"/>
      <c r="I20" s="11" t="n"/>
      <c r="J20" s="11" t="n"/>
      <c r="K20" s="11" t="n"/>
      <c r="L20" s="11" t="n"/>
      <c r="M20" s="12">
        <f>IF(OR(B20="",L20=""),"",B20-L20)</f>
        <v/>
      </c>
      <c r="N20" s="11" t="n"/>
      <c r="O20" s="11" t="n"/>
      <c r="P20" s="11" t="n"/>
      <c r="Q20" s="11" t="n"/>
      <c r="R20" s="11" t="n"/>
      <c r="S20" s="11" t="n"/>
      <c r="T20" s="11" t="n"/>
      <c r="U20" s="11" t="n"/>
    </row>
    <row r="21">
      <c r="A21" s="11" t="n"/>
      <c r="B21" s="11" t="n"/>
      <c r="C21" s="11" t="n"/>
      <c r="D21" s="11" t="n"/>
      <c r="E21" s="11" t="n"/>
      <c r="F21" s="11" t="n"/>
      <c r="G21" s="11" t="n"/>
      <c r="H21" s="11" t="n"/>
      <c r="I21" s="11" t="n"/>
      <c r="J21" s="11" t="n"/>
      <c r="K21" s="11" t="n"/>
      <c r="L21" s="11" t="n"/>
      <c r="M21" s="12">
        <f>IF(OR(B21="",L21=""),"",B21-L21)</f>
        <v/>
      </c>
      <c r="N21" s="11" t="n"/>
      <c r="O21" s="11" t="n"/>
      <c r="P21" s="11" t="n"/>
      <c r="Q21" s="11" t="n"/>
      <c r="R21" s="11" t="n"/>
      <c r="S21" s="11" t="n"/>
      <c r="T21" s="11" t="n"/>
      <c r="U21" s="11" t="n"/>
    </row>
    <row r="22">
      <c r="A22" s="11" t="n"/>
      <c r="B22" s="11" t="n"/>
      <c r="C22" s="11" t="n"/>
      <c r="D22" s="11" t="n"/>
      <c r="E22" s="11" t="n"/>
      <c r="F22" s="11" t="n"/>
      <c r="G22" s="11" t="n"/>
      <c r="H22" s="11" t="n"/>
      <c r="I22" s="11" t="n"/>
      <c r="J22" s="11" t="n"/>
      <c r="K22" s="11" t="n"/>
      <c r="L22" s="11" t="n"/>
      <c r="M22" s="12">
        <f>IF(OR(B22="",L22=""),"",B22-L22)</f>
        <v/>
      </c>
      <c r="N22" s="11" t="n"/>
      <c r="O22" s="11" t="n"/>
      <c r="P22" s="11" t="n"/>
      <c r="Q22" s="11" t="n"/>
      <c r="R22" s="11" t="n"/>
      <c r="S22" s="11" t="n"/>
      <c r="T22" s="11" t="n"/>
      <c r="U22" s="11" t="n"/>
    </row>
    <row r="23">
      <c r="A23" s="11" t="n"/>
      <c r="B23" s="11" t="n"/>
      <c r="C23" s="11" t="n"/>
      <c r="D23" s="11" t="n"/>
      <c r="E23" s="11" t="n"/>
      <c r="F23" s="11" t="n"/>
      <c r="G23" s="11" t="n"/>
      <c r="H23" s="11" t="n"/>
      <c r="I23" s="11" t="n"/>
      <c r="J23" s="11" t="n"/>
      <c r="K23" s="11" t="n"/>
      <c r="L23" s="11" t="n"/>
      <c r="M23" s="12">
        <f>IF(OR(B23="",L23=""),"",B23-L23)</f>
        <v/>
      </c>
      <c r="N23" s="11" t="n"/>
      <c r="O23" s="11" t="n"/>
      <c r="P23" s="11" t="n"/>
      <c r="Q23" s="11" t="n"/>
      <c r="R23" s="11" t="n"/>
      <c r="S23" s="11" t="n"/>
      <c r="T23" s="11" t="n"/>
      <c r="U23" s="11" t="n"/>
    </row>
    <row r="24">
      <c r="A24" s="11" t="n"/>
      <c r="B24" s="11" t="n"/>
      <c r="C24" s="11" t="n"/>
      <c r="D24" s="11" t="n"/>
      <c r="E24" s="11" t="n"/>
      <c r="F24" s="11" t="n"/>
      <c r="G24" s="11" t="n"/>
      <c r="H24" s="11" t="n"/>
      <c r="I24" s="11" t="n"/>
      <c r="J24" s="11" t="n"/>
      <c r="K24" s="11" t="n"/>
      <c r="L24" s="11" t="n"/>
      <c r="M24" s="12">
        <f>IF(OR(B24="",L24=""),"",B24-L24)</f>
        <v/>
      </c>
      <c r="N24" s="11" t="n"/>
      <c r="O24" s="11" t="n"/>
      <c r="P24" s="11" t="n"/>
      <c r="Q24" s="11" t="n"/>
      <c r="R24" s="11" t="n"/>
      <c r="S24" s="11" t="n"/>
      <c r="T24" s="11" t="n"/>
      <c r="U24" s="11" t="n"/>
    </row>
    <row r="25">
      <c r="A25" s="11" t="n"/>
      <c r="B25" s="11" t="n"/>
      <c r="C25" s="11" t="n"/>
      <c r="D25" s="11" t="n"/>
      <c r="E25" s="11" t="n"/>
      <c r="F25" s="11" t="n"/>
      <c r="G25" s="11" t="n"/>
      <c r="H25" s="11" t="n"/>
      <c r="I25" s="11" t="n"/>
      <c r="J25" s="11" t="n"/>
      <c r="K25" s="11" t="n"/>
      <c r="L25" s="11" t="n"/>
      <c r="M25" s="12">
        <f>IF(OR(B25="",L25=""),"",B25-L25)</f>
        <v/>
      </c>
      <c r="N25" s="11" t="n"/>
      <c r="O25" s="11" t="n"/>
      <c r="P25" s="11" t="n"/>
      <c r="Q25" s="11" t="n"/>
      <c r="R25" s="11" t="n"/>
      <c r="S25" s="11" t="n"/>
      <c r="T25" s="11" t="n"/>
      <c r="U25" s="11" t="n"/>
    </row>
    <row r="26">
      <c r="A26" s="11" t="n"/>
      <c r="B26" s="11" t="n"/>
      <c r="C26" s="11" t="n"/>
      <c r="D26" s="11" t="n"/>
      <c r="E26" s="11" t="n"/>
      <c r="F26" s="11" t="n"/>
      <c r="G26" s="11" t="n"/>
      <c r="H26" s="11" t="n"/>
      <c r="I26" s="11" t="n"/>
      <c r="J26" s="11" t="n"/>
      <c r="K26" s="11" t="n"/>
      <c r="L26" s="11" t="n"/>
      <c r="M26" s="12">
        <f>IF(OR(B26="",L26=""),"",B26-L26)</f>
        <v/>
      </c>
      <c r="N26" s="11" t="n"/>
      <c r="O26" s="11" t="n"/>
      <c r="P26" s="11" t="n"/>
      <c r="Q26" s="11" t="n"/>
      <c r="R26" s="11" t="n"/>
      <c r="S26" s="11" t="n"/>
      <c r="T26" s="11" t="n"/>
      <c r="U26" s="11" t="n"/>
    </row>
    <row r="27">
      <c r="A27" s="11" t="n"/>
      <c r="B27" s="11" t="n"/>
      <c r="C27" s="11" t="n"/>
      <c r="D27" s="11" t="n"/>
      <c r="E27" s="11" t="n"/>
      <c r="F27" s="11" t="n"/>
      <c r="G27" s="11" t="n"/>
      <c r="H27" s="11" t="n"/>
      <c r="I27" s="11" t="n"/>
      <c r="J27" s="11" t="n"/>
      <c r="K27" s="11" t="n"/>
      <c r="L27" s="11" t="n"/>
      <c r="M27" s="12">
        <f>IF(OR(B27="",L27=""),"",B27-L27)</f>
        <v/>
      </c>
      <c r="N27" s="11" t="n"/>
      <c r="O27" s="11" t="n"/>
      <c r="P27" s="11" t="n"/>
      <c r="Q27" s="11" t="n"/>
      <c r="R27" s="11" t="n"/>
      <c r="S27" s="11" t="n"/>
      <c r="T27" s="11" t="n"/>
      <c r="U27" s="11" t="n"/>
    </row>
    <row r="28">
      <c r="A28" s="11" t="n"/>
      <c r="B28" s="11" t="n"/>
      <c r="C28" s="11" t="n"/>
      <c r="D28" s="11" t="n"/>
      <c r="E28" s="11" t="n"/>
      <c r="F28" s="11" t="n"/>
      <c r="G28" s="11" t="n"/>
      <c r="H28" s="11" t="n"/>
      <c r="I28" s="11" t="n"/>
      <c r="J28" s="11" t="n"/>
      <c r="K28" s="11" t="n"/>
      <c r="L28" s="11" t="n"/>
      <c r="M28" s="12">
        <f>IF(OR(B28="",L28=""),"",B28-L28)</f>
        <v/>
      </c>
      <c r="N28" s="11" t="n"/>
      <c r="O28" s="11" t="n"/>
      <c r="P28" s="11" t="n"/>
      <c r="Q28" s="11" t="n"/>
      <c r="R28" s="11" t="n"/>
      <c r="S28" s="11" t="n"/>
      <c r="T28" s="11" t="n"/>
      <c r="U28" s="11" t="n"/>
    </row>
    <row r="29">
      <c r="A29" s="11" t="n"/>
      <c r="B29" s="11" t="n"/>
      <c r="C29" s="11" t="n"/>
      <c r="D29" s="11" t="n"/>
      <c r="E29" s="11" t="n"/>
      <c r="F29" s="11" t="n"/>
      <c r="G29" s="11" t="n"/>
      <c r="H29" s="11" t="n"/>
      <c r="I29" s="11" t="n"/>
      <c r="J29" s="11" t="n"/>
      <c r="K29" s="11" t="n"/>
      <c r="L29" s="11" t="n"/>
      <c r="M29" s="12">
        <f>IF(OR(B29="",L29=""),"",B29-L29)</f>
        <v/>
      </c>
      <c r="N29" s="11" t="n"/>
      <c r="O29" s="11" t="n"/>
      <c r="P29" s="11" t="n"/>
      <c r="Q29" s="11" t="n"/>
      <c r="R29" s="11" t="n"/>
      <c r="S29" s="11" t="n"/>
      <c r="T29" s="11" t="n"/>
      <c r="U29" s="11" t="n"/>
    </row>
    <row r="30">
      <c r="A30" s="11" t="n"/>
      <c r="B30" s="11" t="n"/>
      <c r="C30" s="11" t="n"/>
      <c r="D30" s="11" t="n"/>
      <c r="E30" s="11" t="n"/>
      <c r="F30" s="11" t="n"/>
      <c r="G30" s="11" t="n"/>
      <c r="H30" s="11" t="n"/>
      <c r="I30" s="11" t="n"/>
      <c r="J30" s="11" t="n"/>
      <c r="K30" s="11" t="n"/>
      <c r="L30" s="11" t="n"/>
      <c r="M30" s="12">
        <f>IF(OR(B30="",L30=""),"",B30-L30)</f>
        <v/>
      </c>
      <c r="N30" s="11" t="n"/>
      <c r="O30" s="11" t="n"/>
      <c r="P30" s="11" t="n"/>
      <c r="Q30" s="11" t="n"/>
      <c r="R30" s="11" t="n"/>
      <c r="S30" s="11" t="n"/>
      <c r="T30" s="11" t="n"/>
      <c r="U30" s="11" t="n"/>
    </row>
    <row r="31">
      <c r="A31" s="11" t="n"/>
      <c r="B31" s="11" t="n"/>
      <c r="C31" s="11" t="n"/>
      <c r="D31" s="11" t="n"/>
      <c r="E31" s="11" t="n"/>
      <c r="F31" s="11" t="n"/>
      <c r="G31" s="11" t="n"/>
      <c r="H31" s="11" t="n"/>
      <c r="I31" s="11" t="n"/>
      <c r="J31" s="11" t="n"/>
      <c r="K31" s="11" t="n"/>
      <c r="L31" s="11" t="n"/>
      <c r="M31" s="12">
        <f>IF(OR(B31="",L31=""),"",B31-L31)</f>
        <v/>
      </c>
      <c r="N31" s="11" t="n"/>
      <c r="O31" s="11" t="n"/>
      <c r="P31" s="11" t="n"/>
      <c r="Q31" s="11" t="n"/>
      <c r="R31" s="11" t="n"/>
      <c r="S31" s="11" t="n"/>
      <c r="T31" s="11" t="n"/>
      <c r="U31" s="11" t="n"/>
    </row>
    <row r="32">
      <c r="A32" s="11" t="n"/>
      <c r="B32" s="11" t="n"/>
      <c r="C32" s="11" t="n"/>
      <c r="D32" s="11" t="n"/>
      <c r="E32" s="11" t="n"/>
      <c r="F32" s="11" t="n"/>
      <c r="G32" s="11" t="n"/>
      <c r="H32" s="11" t="n"/>
      <c r="I32" s="11" t="n"/>
      <c r="J32" s="11" t="n"/>
      <c r="K32" s="11" t="n"/>
      <c r="L32" s="11" t="n"/>
      <c r="M32" s="12">
        <f>IF(OR(B32="",L32=""),"",B32-L32)</f>
        <v/>
      </c>
      <c r="N32" s="11" t="n"/>
      <c r="O32" s="11" t="n"/>
      <c r="P32" s="11" t="n"/>
      <c r="Q32" s="11" t="n"/>
      <c r="R32" s="11" t="n"/>
      <c r="S32" s="11" t="n"/>
      <c r="T32" s="11" t="n"/>
      <c r="U32" s="11" t="n"/>
    </row>
    <row r="33">
      <c r="A33" s="11" t="n"/>
      <c r="B33" s="11" t="n"/>
      <c r="C33" s="11" t="n"/>
      <c r="D33" s="11" t="n"/>
      <c r="E33" s="11" t="n"/>
      <c r="F33" s="11" t="n"/>
      <c r="G33" s="11" t="n"/>
      <c r="H33" s="11" t="n"/>
      <c r="I33" s="11" t="n"/>
      <c r="J33" s="11" t="n"/>
      <c r="K33" s="11" t="n"/>
      <c r="L33" s="11" t="n"/>
      <c r="M33" s="12">
        <f>IF(OR(B33="",L33=""),"",B33-L33)</f>
        <v/>
      </c>
      <c r="N33" s="11" t="n"/>
      <c r="O33" s="11" t="n"/>
      <c r="P33" s="11" t="n"/>
      <c r="Q33" s="11" t="n"/>
      <c r="R33" s="11" t="n"/>
      <c r="S33" s="11" t="n"/>
      <c r="T33" s="11" t="n"/>
      <c r="U33" s="11" t="n"/>
    </row>
    <row r="34">
      <c r="A34" s="11" t="n"/>
      <c r="B34" s="11" t="n"/>
      <c r="C34" s="11" t="n"/>
      <c r="D34" s="11" t="n"/>
      <c r="E34" s="11" t="n"/>
      <c r="F34" s="11" t="n"/>
      <c r="G34" s="11" t="n"/>
      <c r="H34" s="11" t="n"/>
      <c r="I34" s="11" t="n"/>
      <c r="J34" s="11" t="n"/>
      <c r="K34" s="11" t="n"/>
      <c r="L34" s="11" t="n"/>
      <c r="M34" s="12">
        <f>IF(OR(B34="",L34=""),"",B34-L34)</f>
        <v/>
      </c>
      <c r="N34" s="11" t="n"/>
      <c r="O34" s="11" t="n"/>
      <c r="P34" s="11" t="n"/>
      <c r="Q34" s="11" t="n"/>
      <c r="R34" s="11" t="n"/>
      <c r="S34" s="11" t="n"/>
      <c r="T34" s="11" t="n"/>
      <c r="U34" s="11" t="n"/>
    </row>
    <row r="35">
      <c r="A35" s="11" t="n"/>
      <c r="B35" s="11" t="n"/>
      <c r="C35" s="11" t="n"/>
      <c r="D35" s="11" t="n"/>
      <c r="E35" s="11" t="n"/>
      <c r="F35" s="11" t="n"/>
      <c r="G35" s="11" t="n"/>
      <c r="H35" s="11" t="n"/>
      <c r="I35" s="11" t="n"/>
      <c r="J35" s="11" t="n"/>
      <c r="K35" s="11" t="n"/>
      <c r="L35" s="11" t="n"/>
      <c r="M35" s="12">
        <f>IF(OR(B35="",L35=""),"",B35-L35)</f>
        <v/>
      </c>
      <c r="N35" s="11" t="n"/>
      <c r="O35" s="11" t="n"/>
      <c r="P35" s="11" t="n"/>
      <c r="Q35" s="11" t="n"/>
      <c r="R35" s="11" t="n"/>
      <c r="S35" s="11" t="n"/>
      <c r="T35" s="11" t="n"/>
      <c r="U35" s="11" t="n"/>
    </row>
    <row r="36">
      <c r="A36" s="11" t="n"/>
      <c r="B36" s="11" t="n"/>
      <c r="C36" s="11" t="n"/>
      <c r="D36" s="11" t="n"/>
      <c r="E36" s="11" t="n"/>
      <c r="F36" s="11" t="n"/>
      <c r="G36" s="11" t="n"/>
      <c r="H36" s="11" t="n"/>
      <c r="I36" s="11" t="n"/>
      <c r="J36" s="11" t="n"/>
      <c r="K36" s="11" t="n"/>
      <c r="L36" s="11" t="n"/>
      <c r="M36" s="12">
        <f>IF(OR(B36="",L36=""),"",B36-L36)</f>
        <v/>
      </c>
      <c r="N36" s="11" t="n"/>
      <c r="O36" s="11" t="n"/>
      <c r="P36" s="11" t="n"/>
      <c r="Q36" s="11" t="n"/>
      <c r="R36" s="11" t="n"/>
      <c r="S36" s="11" t="n"/>
      <c r="T36" s="11" t="n"/>
      <c r="U36" s="11" t="n"/>
    </row>
    <row r="37">
      <c r="A37" s="11" t="n"/>
      <c r="B37" s="11" t="n"/>
      <c r="C37" s="11" t="n"/>
      <c r="D37" s="11" t="n"/>
      <c r="E37" s="11" t="n"/>
      <c r="F37" s="11" t="n"/>
      <c r="G37" s="11" t="n"/>
      <c r="H37" s="11" t="n"/>
      <c r="I37" s="11" t="n"/>
      <c r="J37" s="11" t="n"/>
      <c r="K37" s="11" t="n"/>
      <c r="L37" s="11" t="n"/>
      <c r="M37" s="12">
        <f>IF(OR(B37="",L37=""),"",B37-L37)</f>
        <v/>
      </c>
      <c r="N37" s="11" t="n"/>
      <c r="O37" s="11" t="n"/>
      <c r="P37" s="11" t="n"/>
      <c r="Q37" s="11" t="n"/>
      <c r="R37" s="11" t="n"/>
      <c r="S37" s="11" t="n"/>
      <c r="T37" s="11" t="n"/>
      <c r="U37" s="11" t="n"/>
    </row>
    <row r="38">
      <c r="A38" s="11" t="n"/>
      <c r="B38" s="11" t="n"/>
      <c r="C38" s="11" t="n"/>
      <c r="D38" s="11" t="n"/>
      <c r="E38" s="11" t="n"/>
      <c r="F38" s="11" t="n"/>
      <c r="G38" s="11" t="n"/>
      <c r="H38" s="11" t="n"/>
      <c r="I38" s="11" t="n"/>
      <c r="J38" s="11" t="n"/>
      <c r="K38" s="11" t="n"/>
      <c r="L38" s="11" t="n"/>
      <c r="M38" s="12">
        <f>IF(OR(B38="",L38=""),"",B38-L38)</f>
        <v/>
      </c>
      <c r="N38" s="11" t="n"/>
      <c r="O38" s="11" t="n"/>
      <c r="P38" s="11" t="n"/>
      <c r="Q38" s="11" t="n"/>
      <c r="R38" s="11" t="n"/>
      <c r="S38" s="11" t="n"/>
      <c r="T38" s="11" t="n"/>
      <c r="U38" s="11" t="n"/>
    </row>
    <row r="39">
      <c r="A39" s="11" t="n"/>
      <c r="B39" s="11" t="n"/>
      <c r="C39" s="11" t="n"/>
      <c r="D39" s="11" t="n"/>
      <c r="E39" s="11" t="n"/>
      <c r="F39" s="11" t="n"/>
      <c r="G39" s="11" t="n"/>
      <c r="H39" s="11" t="n"/>
      <c r="I39" s="11" t="n"/>
      <c r="J39" s="11" t="n"/>
      <c r="K39" s="11" t="n"/>
      <c r="L39" s="11" t="n"/>
      <c r="M39" s="12">
        <f>IF(OR(B39="",L39=""),"",B39-L39)</f>
        <v/>
      </c>
      <c r="N39" s="11" t="n"/>
      <c r="O39" s="11" t="n"/>
      <c r="P39" s="11" t="n"/>
      <c r="Q39" s="11" t="n"/>
      <c r="R39" s="11" t="n"/>
      <c r="S39" s="11" t="n"/>
      <c r="T39" s="11" t="n"/>
      <c r="U39" s="11" t="n"/>
    </row>
    <row r="40">
      <c r="A40" s="11" t="n"/>
      <c r="B40" s="11" t="n"/>
      <c r="C40" s="11" t="n"/>
      <c r="D40" s="11" t="n"/>
      <c r="E40" s="11" t="n"/>
      <c r="F40" s="11" t="n"/>
      <c r="G40" s="11" t="n"/>
      <c r="H40" s="11" t="n"/>
      <c r="I40" s="11" t="n"/>
      <c r="J40" s="11" t="n"/>
      <c r="K40" s="11" t="n"/>
      <c r="L40" s="11" t="n"/>
      <c r="M40" s="12">
        <f>IF(OR(B40="",L40=""),"",B40-L40)</f>
        <v/>
      </c>
      <c r="N40" s="11" t="n"/>
      <c r="O40" s="11" t="n"/>
      <c r="P40" s="11" t="n"/>
      <c r="Q40" s="11" t="n"/>
      <c r="R40" s="11" t="n"/>
      <c r="S40" s="11" t="n"/>
      <c r="T40" s="11" t="n"/>
      <c r="U40" s="11" t="n"/>
    </row>
    <row r="41">
      <c r="A41" s="11" t="n"/>
      <c r="B41" s="11" t="n"/>
      <c r="C41" s="11" t="n"/>
      <c r="D41" s="11" t="n"/>
      <c r="E41" s="11" t="n"/>
      <c r="F41" s="11" t="n"/>
      <c r="G41" s="11" t="n"/>
      <c r="H41" s="11" t="n"/>
      <c r="I41" s="11" t="n"/>
      <c r="J41" s="11" t="n"/>
      <c r="K41" s="11" t="n"/>
      <c r="L41" s="11" t="n"/>
      <c r="M41" s="12">
        <f>IF(OR(B41="",L41=""),"",B41-L41)</f>
        <v/>
      </c>
      <c r="N41" s="11" t="n"/>
      <c r="O41" s="11" t="n"/>
      <c r="P41" s="11" t="n"/>
      <c r="Q41" s="11" t="n"/>
      <c r="R41" s="11" t="n"/>
      <c r="S41" s="11" t="n"/>
      <c r="T41" s="11" t="n"/>
      <c r="U41" s="11" t="n"/>
    </row>
    <row r="42">
      <c r="A42" s="11" t="n"/>
      <c r="B42" s="11" t="n"/>
      <c r="C42" s="11" t="n"/>
      <c r="D42" s="11" t="n"/>
      <c r="E42" s="11" t="n"/>
      <c r="F42" s="11" t="n"/>
      <c r="G42" s="11" t="n"/>
      <c r="H42" s="11" t="n"/>
      <c r="I42" s="11" t="n"/>
      <c r="J42" s="11" t="n"/>
      <c r="K42" s="11" t="n"/>
      <c r="L42" s="11" t="n"/>
      <c r="M42" s="12">
        <f>IF(OR(B42="",L42=""),"",B42-L42)</f>
        <v/>
      </c>
      <c r="N42" s="11" t="n"/>
      <c r="O42" s="11" t="n"/>
      <c r="P42" s="11" t="n"/>
      <c r="Q42" s="11" t="n"/>
      <c r="R42" s="11" t="n"/>
      <c r="S42" s="11" t="n"/>
      <c r="T42" s="11" t="n"/>
      <c r="U42" s="11" t="n"/>
    </row>
    <row r="43">
      <c r="A43" s="11" t="n"/>
      <c r="B43" s="11" t="n"/>
      <c r="C43" s="11" t="n"/>
      <c r="D43" s="11" t="n"/>
      <c r="E43" s="11" t="n"/>
      <c r="F43" s="11" t="n"/>
      <c r="G43" s="11" t="n"/>
      <c r="H43" s="11" t="n"/>
      <c r="I43" s="11" t="n"/>
      <c r="J43" s="11" t="n"/>
      <c r="K43" s="11" t="n"/>
      <c r="L43" s="11" t="n"/>
      <c r="M43" s="12">
        <f>IF(OR(B43="",L43=""),"",B43-L43)</f>
        <v/>
      </c>
      <c r="N43" s="11" t="n"/>
      <c r="O43" s="11" t="n"/>
      <c r="P43" s="11" t="n"/>
      <c r="Q43" s="11" t="n"/>
      <c r="R43" s="11" t="n"/>
      <c r="S43" s="11" t="n"/>
      <c r="T43" s="11" t="n"/>
      <c r="U43" s="11" t="n"/>
    </row>
    <row r="44">
      <c r="A44" s="11" t="n"/>
      <c r="B44" s="11" t="n"/>
      <c r="C44" s="11" t="n"/>
      <c r="D44" s="11" t="n"/>
      <c r="E44" s="11" t="n"/>
      <c r="F44" s="11" t="n"/>
      <c r="G44" s="11" t="n"/>
      <c r="H44" s="11" t="n"/>
      <c r="I44" s="11" t="n"/>
      <c r="J44" s="11" t="n"/>
      <c r="K44" s="11" t="n"/>
      <c r="L44" s="11" t="n"/>
      <c r="M44" s="12">
        <f>IF(OR(B44="",L44=""),"",B44-L44)</f>
        <v/>
      </c>
      <c r="N44" s="11" t="n"/>
      <c r="O44" s="11" t="n"/>
      <c r="P44" s="11" t="n"/>
      <c r="Q44" s="11" t="n"/>
      <c r="R44" s="11" t="n"/>
      <c r="S44" s="11" t="n"/>
      <c r="T44" s="11" t="n"/>
      <c r="U44" s="11" t="n"/>
    </row>
    <row r="45">
      <c r="A45" s="11" t="n"/>
      <c r="B45" s="11" t="n"/>
      <c r="C45" s="11" t="n"/>
      <c r="D45" s="11" t="n"/>
      <c r="E45" s="11" t="n"/>
      <c r="F45" s="11" t="n"/>
      <c r="G45" s="11" t="n"/>
      <c r="H45" s="11" t="n"/>
      <c r="I45" s="11" t="n"/>
      <c r="J45" s="11" t="n"/>
      <c r="K45" s="11" t="n"/>
      <c r="L45" s="11" t="n"/>
      <c r="M45" s="12">
        <f>IF(OR(B45="",L45=""),"",B45-L45)</f>
        <v/>
      </c>
      <c r="N45" s="11" t="n"/>
      <c r="O45" s="11" t="n"/>
      <c r="P45" s="11" t="n"/>
      <c r="Q45" s="11" t="n"/>
      <c r="R45" s="11" t="n"/>
      <c r="S45" s="11" t="n"/>
      <c r="T45" s="11" t="n"/>
      <c r="U45" s="11" t="n"/>
    </row>
    <row r="46">
      <c r="A46" s="11" t="n"/>
      <c r="B46" s="11" t="n"/>
      <c r="C46" s="11" t="n"/>
      <c r="D46" s="11" t="n"/>
      <c r="E46" s="11" t="n"/>
      <c r="F46" s="11" t="n"/>
      <c r="G46" s="11" t="n"/>
      <c r="H46" s="11" t="n"/>
      <c r="I46" s="11" t="n"/>
      <c r="J46" s="11" t="n"/>
      <c r="K46" s="11" t="n"/>
      <c r="L46" s="11" t="n"/>
      <c r="M46" s="12">
        <f>IF(OR(B46="",L46=""),"",B46-L46)</f>
        <v/>
      </c>
      <c r="N46" s="11" t="n"/>
      <c r="O46" s="11" t="n"/>
      <c r="P46" s="11" t="n"/>
      <c r="Q46" s="11" t="n"/>
      <c r="R46" s="11" t="n"/>
      <c r="S46" s="11" t="n"/>
      <c r="T46" s="11" t="n"/>
      <c r="U46" s="11" t="n"/>
    </row>
    <row r="47">
      <c r="A47" s="11" t="n"/>
      <c r="B47" s="11" t="n"/>
      <c r="C47" s="11" t="n"/>
      <c r="D47" s="11" t="n"/>
      <c r="E47" s="11" t="n"/>
      <c r="F47" s="11" t="n"/>
      <c r="G47" s="11" t="n"/>
      <c r="H47" s="11" t="n"/>
      <c r="I47" s="11" t="n"/>
      <c r="J47" s="11" t="n"/>
      <c r="K47" s="11" t="n"/>
      <c r="L47" s="11" t="n"/>
      <c r="M47" s="12">
        <f>IF(OR(B47="",L47=""),"",B47-L47)</f>
        <v/>
      </c>
      <c r="N47" s="11" t="n"/>
      <c r="O47" s="11" t="n"/>
      <c r="P47" s="11" t="n"/>
      <c r="Q47" s="11" t="n"/>
      <c r="R47" s="11" t="n"/>
      <c r="S47" s="11" t="n"/>
      <c r="T47" s="11" t="n"/>
      <c r="U47" s="11" t="n"/>
    </row>
    <row r="48">
      <c r="A48" s="11" t="n"/>
      <c r="B48" s="11" t="n"/>
      <c r="C48" s="11" t="n"/>
      <c r="D48" s="11" t="n"/>
      <c r="E48" s="11" t="n"/>
      <c r="F48" s="11" t="n"/>
      <c r="G48" s="11" t="n"/>
      <c r="H48" s="11" t="n"/>
      <c r="I48" s="11" t="n"/>
      <c r="J48" s="11" t="n"/>
      <c r="K48" s="11" t="n"/>
      <c r="L48" s="11" t="n"/>
      <c r="M48" s="12">
        <f>IF(OR(B48="",L48=""),"",B48-L48)</f>
        <v/>
      </c>
      <c r="N48" s="11" t="n"/>
      <c r="O48" s="11" t="n"/>
      <c r="P48" s="11" t="n"/>
      <c r="Q48" s="11" t="n"/>
      <c r="R48" s="11" t="n"/>
      <c r="S48" s="11" t="n"/>
      <c r="T48" s="11" t="n"/>
      <c r="U48" s="11" t="n"/>
    </row>
    <row r="49">
      <c r="A49" s="11" t="n"/>
      <c r="B49" s="11" t="n"/>
      <c r="C49" s="11" t="n"/>
      <c r="D49" s="11" t="n"/>
      <c r="E49" s="11" t="n"/>
      <c r="F49" s="11" t="n"/>
      <c r="G49" s="11" t="n"/>
      <c r="H49" s="11" t="n"/>
      <c r="I49" s="11" t="n"/>
      <c r="J49" s="11" t="n"/>
      <c r="K49" s="11" t="n"/>
      <c r="L49" s="11" t="n"/>
      <c r="M49" s="12">
        <f>IF(OR(B49="",L49=""),"",B49-L49)</f>
        <v/>
      </c>
      <c r="N49" s="11" t="n"/>
      <c r="O49" s="11" t="n"/>
      <c r="P49" s="11" t="n"/>
      <c r="Q49" s="11" t="n"/>
      <c r="R49" s="11" t="n"/>
      <c r="S49" s="11" t="n"/>
      <c r="T49" s="11" t="n"/>
      <c r="U49" s="11" t="n"/>
    </row>
    <row r="50">
      <c r="A50" s="11" t="n"/>
      <c r="B50" s="11" t="n"/>
      <c r="C50" s="11" t="n"/>
      <c r="D50" s="11" t="n"/>
      <c r="E50" s="11" t="n"/>
      <c r="F50" s="11" t="n"/>
      <c r="G50" s="11" t="n"/>
      <c r="H50" s="11" t="n"/>
      <c r="I50" s="11" t="n"/>
      <c r="J50" s="11" t="n"/>
      <c r="K50" s="11" t="n"/>
      <c r="L50" s="11" t="n"/>
      <c r="M50" s="12">
        <f>IF(OR(B50="",L50=""),"",B50-L50)</f>
        <v/>
      </c>
      <c r="N50" s="11" t="n"/>
      <c r="O50" s="11" t="n"/>
      <c r="P50" s="11" t="n"/>
      <c r="Q50" s="11" t="n"/>
      <c r="R50" s="11" t="n"/>
      <c r="S50" s="11" t="n"/>
      <c r="T50" s="11" t="n"/>
      <c r="U50" s="11" t="n"/>
    </row>
    <row r="51">
      <c r="A51" s="11" t="n"/>
      <c r="B51" s="11" t="n"/>
      <c r="C51" s="11" t="n"/>
      <c r="D51" s="11" t="n"/>
      <c r="E51" s="11" t="n"/>
      <c r="F51" s="11" t="n"/>
      <c r="G51" s="11" t="n"/>
      <c r="H51" s="11" t="n"/>
      <c r="I51" s="11" t="n"/>
      <c r="J51" s="11" t="n"/>
      <c r="K51" s="11" t="n"/>
      <c r="L51" s="11" t="n"/>
      <c r="M51" s="12">
        <f>IF(OR(B51="",L51=""),"",B51-L51)</f>
        <v/>
      </c>
      <c r="N51" s="11" t="n"/>
      <c r="O51" s="11" t="n"/>
      <c r="P51" s="11" t="n"/>
      <c r="Q51" s="11" t="n"/>
      <c r="R51" s="11" t="n"/>
      <c r="S51" s="11" t="n"/>
      <c r="T51" s="11" t="n"/>
      <c r="U51" s="11" t="n"/>
    </row>
    <row r="52">
      <c r="A52" s="11" t="n"/>
      <c r="B52" s="11" t="n"/>
      <c r="C52" s="11" t="n"/>
      <c r="D52" s="11" t="n"/>
      <c r="E52" s="11" t="n"/>
      <c r="F52" s="11" t="n"/>
      <c r="G52" s="11" t="n"/>
      <c r="H52" s="11" t="n"/>
      <c r="I52" s="11" t="n"/>
      <c r="J52" s="11" t="n"/>
      <c r="K52" s="11" t="n"/>
      <c r="L52" s="11" t="n"/>
      <c r="M52" s="12">
        <f>IF(OR(B52="",L52=""),"",B52-L52)</f>
        <v/>
      </c>
      <c r="N52" s="11" t="n"/>
      <c r="O52" s="11" t="n"/>
      <c r="P52" s="11" t="n"/>
      <c r="Q52" s="11" t="n"/>
      <c r="R52" s="11" t="n"/>
      <c r="S52" s="11" t="n"/>
      <c r="T52" s="11" t="n"/>
      <c r="U52" s="11" t="n"/>
    </row>
    <row r="53">
      <c r="A53" s="11" t="n"/>
      <c r="B53" s="11" t="n"/>
      <c r="C53" s="11" t="n"/>
      <c r="D53" s="11" t="n"/>
      <c r="E53" s="11" t="n"/>
      <c r="F53" s="11" t="n"/>
      <c r="G53" s="11" t="n"/>
      <c r="H53" s="11" t="n"/>
      <c r="I53" s="11" t="n"/>
      <c r="J53" s="11" t="n"/>
      <c r="K53" s="11" t="n"/>
      <c r="L53" s="11" t="n"/>
      <c r="M53" s="12">
        <f>IF(OR(B53="",L53=""),"",B53-L53)</f>
        <v/>
      </c>
      <c r="N53" s="11" t="n"/>
      <c r="O53" s="11" t="n"/>
      <c r="P53" s="11" t="n"/>
      <c r="Q53" s="11" t="n"/>
      <c r="R53" s="11" t="n"/>
      <c r="S53" s="11" t="n"/>
      <c r="T53" s="11" t="n"/>
      <c r="U53" s="11" t="n"/>
    </row>
    <row r="54">
      <c r="A54" s="11" t="n"/>
      <c r="B54" s="11" t="n"/>
      <c r="C54" s="11" t="n"/>
      <c r="D54" s="11" t="n"/>
      <c r="E54" s="11" t="n"/>
      <c r="F54" s="11" t="n"/>
      <c r="G54" s="11" t="n"/>
      <c r="H54" s="11" t="n"/>
      <c r="I54" s="11" t="n"/>
      <c r="J54" s="11" t="n"/>
      <c r="K54" s="11" t="n"/>
      <c r="L54" s="11" t="n"/>
      <c r="M54" s="12">
        <f>IF(OR(B54="",L54=""),"",B54-L54)</f>
        <v/>
      </c>
      <c r="N54" s="11" t="n"/>
      <c r="O54" s="11" t="n"/>
      <c r="P54" s="11" t="n"/>
      <c r="Q54" s="11" t="n"/>
      <c r="R54" s="11" t="n"/>
      <c r="S54" s="11" t="n"/>
      <c r="T54" s="11" t="n"/>
      <c r="U54" s="11" t="n"/>
    </row>
    <row r="55">
      <c r="A55" s="11" t="n"/>
      <c r="B55" s="11" t="n"/>
      <c r="C55" s="11" t="n"/>
      <c r="D55" s="11" t="n"/>
      <c r="E55" s="11" t="n"/>
      <c r="F55" s="11" t="n"/>
      <c r="G55" s="11" t="n"/>
      <c r="H55" s="11" t="n"/>
      <c r="I55" s="11" t="n"/>
      <c r="J55" s="11" t="n"/>
      <c r="K55" s="11" t="n"/>
      <c r="L55" s="11" t="n"/>
      <c r="M55" s="12">
        <f>IF(OR(B55="",L55=""),"",B55-L55)</f>
        <v/>
      </c>
      <c r="N55" s="11" t="n"/>
      <c r="O55" s="11" t="n"/>
      <c r="P55" s="11" t="n"/>
      <c r="Q55" s="11" t="n"/>
      <c r="R55" s="11" t="n"/>
      <c r="S55" s="11" t="n"/>
      <c r="T55" s="11" t="n"/>
      <c r="U55" s="11" t="n"/>
    </row>
    <row r="56">
      <c r="A56" s="11" t="n"/>
      <c r="B56" s="11" t="n"/>
      <c r="C56" s="11" t="n"/>
      <c r="D56" s="11" t="n"/>
      <c r="E56" s="11" t="n"/>
      <c r="F56" s="11" t="n"/>
      <c r="G56" s="11" t="n"/>
      <c r="H56" s="11" t="n"/>
      <c r="I56" s="11" t="n"/>
      <c r="J56" s="11" t="n"/>
      <c r="K56" s="11" t="n"/>
      <c r="L56" s="11" t="n"/>
      <c r="M56" s="12">
        <f>IF(OR(B56="",L56=""),"",B56-L56)</f>
        <v/>
      </c>
      <c r="N56" s="11" t="n"/>
      <c r="O56" s="11" t="n"/>
      <c r="P56" s="11" t="n"/>
      <c r="Q56" s="11" t="n"/>
      <c r="R56" s="11" t="n"/>
      <c r="S56" s="11" t="n"/>
      <c r="T56" s="11" t="n"/>
      <c r="U56" s="11" t="n"/>
    </row>
    <row r="57">
      <c r="A57" s="11" t="n"/>
      <c r="B57" s="11" t="n"/>
      <c r="C57" s="11" t="n"/>
      <c r="D57" s="11" t="n"/>
      <c r="E57" s="11" t="n"/>
      <c r="F57" s="11" t="n"/>
      <c r="G57" s="11" t="n"/>
      <c r="H57" s="11" t="n"/>
      <c r="I57" s="11" t="n"/>
      <c r="J57" s="11" t="n"/>
      <c r="K57" s="11" t="n"/>
      <c r="L57" s="11" t="n"/>
      <c r="M57" s="12">
        <f>IF(OR(B57="",L57=""),"",B57-L57)</f>
        <v/>
      </c>
      <c r="N57" s="11" t="n"/>
      <c r="O57" s="11" t="n"/>
      <c r="P57" s="11" t="n"/>
      <c r="Q57" s="11" t="n"/>
      <c r="R57" s="11" t="n"/>
      <c r="S57" s="11" t="n"/>
      <c r="T57" s="11" t="n"/>
      <c r="U57" s="11" t="n"/>
    </row>
    <row r="58">
      <c r="A58" s="11" t="n"/>
      <c r="B58" s="11" t="n"/>
      <c r="C58" s="11" t="n"/>
      <c r="D58" s="11" t="n"/>
      <c r="E58" s="11" t="n"/>
      <c r="F58" s="11" t="n"/>
      <c r="G58" s="11" t="n"/>
      <c r="H58" s="11" t="n"/>
      <c r="I58" s="11" t="n"/>
      <c r="J58" s="11" t="n"/>
      <c r="K58" s="11" t="n"/>
      <c r="L58" s="11" t="n"/>
      <c r="M58" s="12">
        <f>IF(OR(B58="",L58=""),"",B58-L58)</f>
        <v/>
      </c>
      <c r="N58" s="11" t="n"/>
      <c r="O58" s="11" t="n"/>
      <c r="P58" s="11" t="n"/>
      <c r="Q58" s="11" t="n"/>
      <c r="R58" s="11" t="n"/>
      <c r="S58" s="11" t="n"/>
      <c r="T58" s="11" t="n"/>
      <c r="U58" s="11" t="n"/>
    </row>
    <row r="59">
      <c r="A59" s="11" t="n"/>
      <c r="B59" s="11" t="n"/>
      <c r="C59" s="11" t="n"/>
      <c r="D59" s="11" t="n"/>
      <c r="E59" s="11" t="n"/>
      <c r="F59" s="11" t="n"/>
      <c r="G59" s="11" t="n"/>
      <c r="H59" s="11" t="n"/>
      <c r="I59" s="11" t="n"/>
      <c r="J59" s="11" t="n"/>
      <c r="K59" s="11" t="n"/>
      <c r="L59" s="11" t="n"/>
      <c r="M59" s="12">
        <f>IF(OR(B59="",L59=""),"",B59-L59)</f>
        <v/>
      </c>
      <c r="N59" s="11" t="n"/>
      <c r="O59" s="11" t="n"/>
      <c r="P59" s="11" t="n"/>
      <c r="Q59" s="11" t="n"/>
      <c r="R59" s="11" t="n"/>
      <c r="S59" s="11" t="n"/>
      <c r="T59" s="11" t="n"/>
      <c r="U59" s="11" t="n"/>
    </row>
    <row r="60">
      <c r="A60" s="11" t="n"/>
      <c r="B60" s="11" t="n"/>
      <c r="C60" s="11" t="n"/>
      <c r="D60" s="11" t="n"/>
      <c r="E60" s="11" t="n"/>
      <c r="F60" s="11" t="n"/>
      <c r="G60" s="11" t="n"/>
      <c r="H60" s="11" t="n"/>
      <c r="I60" s="11" t="n"/>
      <c r="J60" s="11" t="n"/>
      <c r="K60" s="11" t="n"/>
      <c r="L60" s="11" t="n"/>
      <c r="M60" s="12">
        <f>IF(OR(B60="",L60=""),"",B60-L60)</f>
        <v/>
      </c>
      <c r="N60" s="11" t="n"/>
      <c r="O60" s="11" t="n"/>
      <c r="P60" s="11" t="n"/>
      <c r="Q60" s="11" t="n"/>
      <c r="R60" s="11" t="n"/>
      <c r="S60" s="11" t="n"/>
      <c r="T60" s="11" t="n"/>
      <c r="U60" s="11" t="n"/>
    </row>
    <row r="61">
      <c r="A61" s="11" t="n"/>
      <c r="B61" s="11" t="n"/>
      <c r="C61" s="11" t="n"/>
      <c r="D61" s="11" t="n"/>
      <c r="E61" s="11" t="n"/>
      <c r="F61" s="11" t="n"/>
      <c r="G61" s="11" t="n"/>
      <c r="H61" s="11" t="n"/>
      <c r="I61" s="11" t="n"/>
      <c r="J61" s="11" t="n"/>
      <c r="K61" s="11" t="n"/>
      <c r="L61" s="11" t="n"/>
      <c r="M61" s="12">
        <f>IF(OR(B61="",L61=""),"",B61-L61)</f>
        <v/>
      </c>
      <c r="N61" s="11" t="n"/>
      <c r="O61" s="11" t="n"/>
      <c r="P61" s="11" t="n"/>
      <c r="Q61" s="11" t="n"/>
      <c r="R61" s="11" t="n"/>
      <c r="S61" s="11" t="n"/>
      <c r="T61" s="11" t="n"/>
      <c r="U61" s="11" t="n"/>
    </row>
    <row r="62">
      <c r="A62" s="11" t="n"/>
      <c r="B62" s="11" t="n"/>
      <c r="C62" s="11" t="n"/>
      <c r="D62" s="11" t="n"/>
      <c r="E62" s="11" t="n"/>
      <c r="F62" s="11" t="n"/>
      <c r="G62" s="11" t="n"/>
      <c r="H62" s="11" t="n"/>
      <c r="I62" s="11" t="n"/>
      <c r="J62" s="11" t="n"/>
      <c r="K62" s="11" t="n"/>
      <c r="L62" s="11" t="n"/>
      <c r="M62" s="12">
        <f>IF(OR(B62="",L62=""),"",B62-L62)</f>
        <v/>
      </c>
      <c r="N62" s="11" t="n"/>
      <c r="O62" s="11" t="n"/>
      <c r="P62" s="11" t="n"/>
      <c r="Q62" s="11" t="n"/>
      <c r="R62" s="11" t="n"/>
      <c r="S62" s="11" t="n"/>
      <c r="T62" s="11" t="n"/>
      <c r="U62" s="11" t="n"/>
    </row>
    <row r="63">
      <c r="A63" s="11" t="n"/>
      <c r="B63" s="11" t="n"/>
      <c r="C63" s="11" t="n"/>
      <c r="D63" s="11" t="n"/>
      <c r="E63" s="11" t="n"/>
      <c r="F63" s="11" t="n"/>
      <c r="G63" s="11" t="n"/>
      <c r="H63" s="11" t="n"/>
      <c r="I63" s="11" t="n"/>
      <c r="J63" s="11" t="n"/>
      <c r="K63" s="11" t="n"/>
      <c r="L63" s="11" t="n"/>
      <c r="M63" s="12">
        <f>IF(OR(B63="",L63=""),"",B63-L63)</f>
        <v/>
      </c>
      <c r="N63" s="11" t="n"/>
      <c r="O63" s="11" t="n"/>
      <c r="P63" s="11" t="n"/>
      <c r="Q63" s="11" t="n"/>
      <c r="R63" s="11" t="n"/>
      <c r="S63" s="11" t="n"/>
      <c r="T63" s="11" t="n"/>
      <c r="U63" s="11" t="n"/>
    </row>
    <row r="64">
      <c r="A64" s="11" t="n"/>
      <c r="B64" s="11" t="n"/>
      <c r="C64" s="11" t="n"/>
      <c r="D64" s="11" t="n"/>
      <c r="E64" s="11" t="n"/>
      <c r="F64" s="11" t="n"/>
      <c r="G64" s="11" t="n"/>
      <c r="H64" s="11" t="n"/>
      <c r="I64" s="11" t="n"/>
      <c r="J64" s="11" t="n"/>
      <c r="K64" s="11" t="n"/>
      <c r="L64" s="11" t="n"/>
      <c r="M64" s="12">
        <f>IF(OR(B64="",L64=""),"",B64-L64)</f>
        <v/>
      </c>
      <c r="N64" s="11" t="n"/>
      <c r="O64" s="11" t="n"/>
      <c r="P64" s="11" t="n"/>
      <c r="Q64" s="11" t="n"/>
      <c r="R64" s="11" t="n"/>
      <c r="S64" s="11" t="n"/>
      <c r="T64" s="11" t="n"/>
      <c r="U64" s="11" t="n"/>
    </row>
    <row r="65">
      <c r="A65" s="11" t="n"/>
      <c r="B65" s="11" t="n"/>
      <c r="C65" s="11" t="n"/>
      <c r="D65" s="11" t="n"/>
      <c r="E65" s="11" t="n"/>
      <c r="F65" s="11" t="n"/>
      <c r="G65" s="11" t="n"/>
      <c r="H65" s="11" t="n"/>
      <c r="I65" s="11" t="n"/>
      <c r="J65" s="11" t="n"/>
      <c r="K65" s="11" t="n"/>
      <c r="L65" s="11" t="n"/>
      <c r="M65" s="12">
        <f>IF(OR(B65="",L65=""),"",B65-L65)</f>
        <v/>
      </c>
      <c r="N65" s="11" t="n"/>
      <c r="O65" s="11" t="n"/>
      <c r="P65" s="11" t="n"/>
      <c r="Q65" s="11" t="n"/>
      <c r="R65" s="11" t="n"/>
      <c r="S65" s="11" t="n"/>
      <c r="T65" s="11" t="n"/>
      <c r="U65" s="11" t="n"/>
    </row>
    <row r="66">
      <c r="A66" s="11" t="n"/>
      <c r="B66" s="11" t="n"/>
      <c r="C66" s="11" t="n"/>
      <c r="D66" s="11" t="n"/>
      <c r="E66" s="11" t="n"/>
      <c r="F66" s="11" t="n"/>
      <c r="G66" s="11" t="n"/>
      <c r="H66" s="11" t="n"/>
      <c r="I66" s="11" t="n"/>
      <c r="J66" s="11" t="n"/>
      <c r="K66" s="11" t="n"/>
      <c r="L66" s="11" t="n"/>
      <c r="M66" s="12">
        <f>IF(OR(B66="",L66=""),"",B66-L66)</f>
        <v/>
      </c>
      <c r="N66" s="11" t="n"/>
      <c r="O66" s="11" t="n"/>
      <c r="P66" s="11" t="n"/>
      <c r="Q66" s="11" t="n"/>
      <c r="R66" s="11" t="n"/>
      <c r="S66" s="11" t="n"/>
      <c r="T66" s="11" t="n"/>
      <c r="U66" s="11" t="n"/>
    </row>
    <row r="67">
      <c r="A67" s="11" t="n"/>
      <c r="B67" s="11" t="n"/>
      <c r="C67" s="11" t="n"/>
      <c r="D67" s="11" t="n"/>
      <c r="E67" s="11" t="n"/>
      <c r="F67" s="11" t="n"/>
      <c r="G67" s="11" t="n"/>
      <c r="H67" s="11" t="n"/>
      <c r="I67" s="11" t="n"/>
      <c r="J67" s="11" t="n"/>
      <c r="K67" s="11" t="n"/>
      <c r="L67" s="11" t="n"/>
      <c r="M67" s="12">
        <f>IF(OR(B67="",L67=""),"",B67-L67)</f>
        <v/>
      </c>
      <c r="N67" s="11" t="n"/>
      <c r="O67" s="11" t="n"/>
      <c r="P67" s="11" t="n"/>
      <c r="Q67" s="11" t="n"/>
      <c r="R67" s="11" t="n"/>
      <c r="S67" s="11" t="n"/>
      <c r="T67" s="11" t="n"/>
      <c r="U67" s="11" t="n"/>
    </row>
    <row r="68">
      <c r="A68" s="11" t="n"/>
      <c r="B68" s="11" t="n"/>
      <c r="C68" s="11" t="n"/>
      <c r="D68" s="11" t="n"/>
      <c r="E68" s="11" t="n"/>
      <c r="F68" s="11" t="n"/>
      <c r="G68" s="11" t="n"/>
      <c r="H68" s="11" t="n"/>
      <c r="I68" s="11" t="n"/>
      <c r="J68" s="11" t="n"/>
      <c r="K68" s="11" t="n"/>
      <c r="L68" s="11" t="n"/>
      <c r="M68" s="12">
        <f>IF(OR(B68="",L68=""),"",B68-L68)</f>
        <v/>
      </c>
      <c r="N68" s="11" t="n"/>
      <c r="O68" s="11" t="n"/>
      <c r="P68" s="11" t="n"/>
      <c r="Q68" s="11" t="n"/>
      <c r="R68" s="11" t="n"/>
      <c r="S68" s="11" t="n"/>
      <c r="T68" s="11" t="n"/>
      <c r="U68" s="11" t="n"/>
    </row>
    <row r="69">
      <c r="A69" s="11" t="n"/>
      <c r="B69" s="11" t="n"/>
      <c r="C69" s="11" t="n"/>
      <c r="D69" s="11" t="n"/>
      <c r="E69" s="11" t="n"/>
      <c r="F69" s="11" t="n"/>
      <c r="G69" s="11" t="n"/>
      <c r="H69" s="11" t="n"/>
      <c r="I69" s="11" t="n"/>
      <c r="J69" s="11" t="n"/>
      <c r="K69" s="11" t="n"/>
      <c r="L69" s="11" t="n"/>
      <c r="M69" s="12">
        <f>IF(OR(B69="",L69=""),"",B69-L69)</f>
        <v/>
      </c>
      <c r="N69" s="11" t="n"/>
      <c r="O69" s="11" t="n"/>
      <c r="P69" s="11" t="n"/>
      <c r="Q69" s="11" t="n"/>
      <c r="R69" s="11" t="n"/>
      <c r="S69" s="11" t="n"/>
      <c r="T69" s="11" t="n"/>
      <c r="U69" s="11" t="n"/>
    </row>
    <row r="70">
      <c r="A70" s="11" t="n"/>
      <c r="B70" s="11" t="n"/>
      <c r="C70" s="11" t="n"/>
      <c r="D70" s="11" t="n"/>
      <c r="E70" s="11" t="n"/>
      <c r="F70" s="11" t="n"/>
      <c r="G70" s="11" t="n"/>
      <c r="H70" s="11" t="n"/>
      <c r="I70" s="11" t="n"/>
      <c r="J70" s="11" t="n"/>
      <c r="K70" s="11" t="n"/>
      <c r="L70" s="11" t="n"/>
      <c r="M70" s="12">
        <f>IF(OR(B70="",L70=""),"",B70-L70)</f>
        <v/>
      </c>
      <c r="N70" s="11" t="n"/>
      <c r="O70" s="11" t="n"/>
      <c r="P70" s="11" t="n"/>
      <c r="Q70" s="11" t="n"/>
      <c r="R70" s="11" t="n"/>
      <c r="S70" s="11" t="n"/>
      <c r="T70" s="11" t="n"/>
      <c r="U70" s="11" t="n"/>
    </row>
    <row r="71">
      <c r="A71" s="11" t="n"/>
      <c r="B71" s="11" t="n"/>
      <c r="C71" s="11" t="n"/>
      <c r="D71" s="11" t="n"/>
      <c r="E71" s="11" t="n"/>
      <c r="F71" s="11" t="n"/>
      <c r="G71" s="11" t="n"/>
      <c r="H71" s="11" t="n"/>
      <c r="I71" s="11" t="n"/>
      <c r="J71" s="11" t="n"/>
      <c r="K71" s="11" t="n"/>
      <c r="L71" s="11" t="n"/>
      <c r="M71" s="12">
        <f>IF(OR(B71="",L71=""),"",B71-L71)</f>
        <v/>
      </c>
      <c r="N71" s="11" t="n"/>
      <c r="O71" s="11" t="n"/>
      <c r="P71" s="11" t="n"/>
      <c r="Q71" s="11" t="n"/>
      <c r="R71" s="11" t="n"/>
      <c r="S71" s="11" t="n"/>
      <c r="T71" s="11" t="n"/>
      <c r="U71" s="11" t="n"/>
    </row>
    <row r="72">
      <c r="A72" s="11" t="n"/>
      <c r="B72" s="11" t="n"/>
      <c r="C72" s="11" t="n"/>
      <c r="D72" s="11" t="n"/>
      <c r="E72" s="11" t="n"/>
      <c r="F72" s="11" t="n"/>
      <c r="G72" s="11" t="n"/>
      <c r="H72" s="11" t="n"/>
      <c r="I72" s="11" t="n"/>
      <c r="J72" s="11" t="n"/>
      <c r="K72" s="11" t="n"/>
      <c r="L72" s="11" t="n"/>
      <c r="M72" s="12">
        <f>IF(OR(B72="",L72=""),"",B72-L72)</f>
        <v/>
      </c>
      <c r="N72" s="11" t="n"/>
      <c r="O72" s="11" t="n"/>
      <c r="P72" s="11" t="n"/>
      <c r="Q72" s="11" t="n"/>
      <c r="R72" s="11" t="n"/>
      <c r="S72" s="11" t="n"/>
      <c r="T72" s="11" t="n"/>
      <c r="U72" s="11" t="n"/>
    </row>
    <row r="73">
      <c r="A73" s="11" t="n"/>
      <c r="B73" s="11" t="n"/>
      <c r="C73" s="11" t="n"/>
      <c r="D73" s="11" t="n"/>
      <c r="E73" s="11" t="n"/>
      <c r="F73" s="11" t="n"/>
      <c r="G73" s="11" t="n"/>
      <c r="H73" s="11" t="n"/>
      <c r="I73" s="11" t="n"/>
      <c r="J73" s="11" t="n"/>
      <c r="K73" s="11" t="n"/>
      <c r="L73" s="11" t="n"/>
      <c r="M73" s="12">
        <f>IF(OR(B73="",L73=""),"",B73-L73)</f>
        <v/>
      </c>
      <c r="N73" s="11" t="n"/>
      <c r="O73" s="11" t="n"/>
      <c r="P73" s="11" t="n"/>
      <c r="Q73" s="11" t="n"/>
      <c r="R73" s="11" t="n"/>
      <c r="S73" s="11" t="n"/>
      <c r="T73" s="11" t="n"/>
      <c r="U73" s="11" t="n"/>
    </row>
    <row r="74">
      <c r="A74" s="11" t="n"/>
      <c r="B74" s="11" t="n"/>
      <c r="C74" s="11" t="n"/>
      <c r="D74" s="11" t="n"/>
      <c r="E74" s="11" t="n"/>
      <c r="F74" s="11" t="n"/>
      <c r="G74" s="11" t="n"/>
      <c r="H74" s="11" t="n"/>
      <c r="I74" s="11" t="n"/>
      <c r="J74" s="11" t="n"/>
      <c r="K74" s="11" t="n"/>
      <c r="L74" s="11" t="n"/>
      <c r="M74" s="12">
        <f>IF(OR(B74="",L74=""),"",B74-L74)</f>
        <v/>
      </c>
      <c r="N74" s="11" t="n"/>
      <c r="O74" s="11" t="n"/>
      <c r="P74" s="11" t="n"/>
      <c r="Q74" s="11" t="n"/>
      <c r="R74" s="11" t="n"/>
      <c r="S74" s="11" t="n"/>
      <c r="T74" s="11" t="n"/>
      <c r="U74" s="11" t="n"/>
    </row>
    <row r="75">
      <c r="A75" s="11" t="n"/>
      <c r="B75" s="11" t="n"/>
      <c r="C75" s="11" t="n"/>
      <c r="D75" s="11" t="n"/>
      <c r="E75" s="11" t="n"/>
      <c r="F75" s="11" t="n"/>
      <c r="G75" s="11" t="n"/>
      <c r="H75" s="11" t="n"/>
      <c r="I75" s="11" t="n"/>
      <c r="J75" s="11" t="n"/>
      <c r="K75" s="11" t="n"/>
      <c r="L75" s="11" t="n"/>
      <c r="M75" s="12">
        <f>IF(OR(B75="",L75=""),"",B75-L75)</f>
        <v/>
      </c>
      <c r="N75" s="11" t="n"/>
      <c r="O75" s="11" t="n"/>
      <c r="P75" s="11" t="n"/>
      <c r="Q75" s="11" t="n"/>
      <c r="R75" s="11" t="n"/>
      <c r="S75" s="11" t="n"/>
      <c r="T75" s="11" t="n"/>
      <c r="U75" s="11" t="n"/>
    </row>
    <row r="76">
      <c r="A76" s="11" t="n"/>
      <c r="B76" s="11" t="n"/>
      <c r="C76" s="11" t="n"/>
      <c r="D76" s="11" t="n"/>
      <c r="E76" s="11" t="n"/>
      <c r="F76" s="11" t="n"/>
      <c r="G76" s="11" t="n"/>
      <c r="H76" s="11" t="n"/>
      <c r="I76" s="11" t="n"/>
      <c r="J76" s="11" t="n"/>
      <c r="K76" s="11" t="n"/>
      <c r="L76" s="11" t="n"/>
      <c r="M76" s="12">
        <f>IF(OR(B76="",L76=""),"",B76-L76)</f>
        <v/>
      </c>
      <c r="N76" s="11" t="n"/>
      <c r="O76" s="11" t="n"/>
      <c r="P76" s="11" t="n"/>
      <c r="Q76" s="11" t="n"/>
      <c r="R76" s="11" t="n"/>
      <c r="S76" s="11" t="n"/>
      <c r="T76" s="11" t="n"/>
      <c r="U76" s="11" t="n"/>
    </row>
    <row r="77">
      <c r="A77" s="11" t="n"/>
      <c r="B77" s="11" t="n"/>
      <c r="C77" s="11" t="n"/>
      <c r="D77" s="11" t="n"/>
      <c r="E77" s="11" t="n"/>
      <c r="F77" s="11" t="n"/>
      <c r="G77" s="11" t="n"/>
      <c r="H77" s="11" t="n"/>
      <c r="I77" s="11" t="n"/>
      <c r="J77" s="11" t="n"/>
      <c r="K77" s="11" t="n"/>
      <c r="L77" s="11" t="n"/>
      <c r="M77" s="12">
        <f>IF(OR(B77="",L77=""),"",B77-L77)</f>
        <v/>
      </c>
      <c r="N77" s="11" t="n"/>
      <c r="O77" s="11" t="n"/>
      <c r="P77" s="11" t="n"/>
      <c r="Q77" s="11" t="n"/>
      <c r="R77" s="11" t="n"/>
      <c r="S77" s="11" t="n"/>
      <c r="T77" s="11" t="n"/>
      <c r="U77" s="11" t="n"/>
    </row>
    <row r="78">
      <c r="A78" s="11" t="n"/>
      <c r="B78" s="11" t="n"/>
      <c r="C78" s="11" t="n"/>
      <c r="D78" s="11" t="n"/>
      <c r="E78" s="11" t="n"/>
      <c r="F78" s="11" t="n"/>
      <c r="G78" s="11" t="n"/>
      <c r="H78" s="11" t="n"/>
      <c r="I78" s="11" t="n"/>
      <c r="J78" s="11" t="n"/>
      <c r="K78" s="11" t="n"/>
      <c r="L78" s="11" t="n"/>
      <c r="M78" s="12">
        <f>IF(OR(B78="",L78=""),"",B78-L78)</f>
        <v/>
      </c>
      <c r="N78" s="11" t="n"/>
      <c r="O78" s="11" t="n"/>
      <c r="P78" s="11" t="n"/>
      <c r="Q78" s="11" t="n"/>
      <c r="R78" s="11" t="n"/>
      <c r="S78" s="11" t="n"/>
      <c r="T78" s="11" t="n"/>
      <c r="U78" s="11" t="n"/>
    </row>
    <row r="79">
      <c r="A79" s="11" t="n"/>
      <c r="B79" s="11" t="n"/>
      <c r="C79" s="11" t="n"/>
      <c r="D79" s="11" t="n"/>
      <c r="E79" s="11" t="n"/>
      <c r="F79" s="11" t="n"/>
      <c r="G79" s="11" t="n"/>
      <c r="H79" s="11" t="n"/>
      <c r="I79" s="11" t="n"/>
      <c r="J79" s="11" t="n"/>
      <c r="K79" s="11" t="n"/>
      <c r="L79" s="11" t="n"/>
      <c r="M79" s="12">
        <f>IF(OR(B79="",L79=""),"",B79-L79)</f>
        <v/>
      </c>
      <c r="N79" s="11" t="n"/>
      <c r="O79" s="11" t="n"/>
      <c r="P79" s="11" t="n"/>
      <c r="Q79" s="11" t="n"/>
      <c r="R79" s="11" t="n"/>
      <c r="S79" s="11" t="n"/>
      <c r="T79" s="11" t="n"/>
      <c r="U79" s="11" t="n"/>
    </row>
    <row r="80">
      <c r="A80" s="11" t="n"/>
      <c r="B80" s="11" t="n"/>
      <c r="C80" s="11" t="n"/>
      <c r="D80" s="11" t="n"/>
      <c r="E80" s="11" t="n"/>
      <c r="F80" s="11" t="n"/>
      <c r="G80" s="11" t="n"/>
      <c r="H80" s="11" t="n"/>
      <c r="I80" s="11" t="n"/>
      <c r="J80" s="11" t="n"/>
      <c r="K80" s="11" t="n"/>
      <c r="L80" s="11" t="n"/>
      <c r="M80" s="12">
        <f>IF(OR(B80="",L80=""),"",B80-L80)</f>
        <v/>
      </c>
      <c r="N80" s="11" t="n"/>
      <c r="O80" s="11" t="n"/>
      <c r="P80" s="11" t="n"/>
      <c r="Q80" s="11" t="n"/>
      <c r="R80" s="11" t="n"/>
      <c r="S80" s="11" t="n"/>
      <c r="T80" s="11" t="n"/>
      <c r="U80" s="11" t="n"/>
    </row>
  </sheetData>
  <dataValidations count="3">
    <dataValidation sqref="R3:R80" showDropDown="0" showInputMessage="0" showErrorMessage="0" allowBlank="1" type="list">
      <formula1>"TAKE,NO TRADE"</formula1>
    </dataValidation>
    <dataValidation sqref="Q3:Q80" showDropDown="0" showInputMessage="0" showErrorMessage="0" allowBlank="1" type="list">
      <formula1>"STRONG_BULLISH,BULLISH,SIDEWAYS,BEARISH,STRONG_BEARISH,HIGH_VOLATILITY,LOW_VOLATILITY"</formula1>
    </dataValidation>
    <dataValidation sqref="N3:N80" showDropDown="0" showInputMessage="0" showErrorMessage="0" allowBlank="1" type="list">
      <formula1>"Bullish,Bearish,Mixed"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0"/>
  <sheetViews>
    <sheetView workbookViewId="0">
      <pane ySplit="1" topLeftCell="A2" activePane="bottomLeft" state="frozen"/>
      <selection pane="bottomLeft" activeCell="A1" sqref="A1"/>
    </sheetView>
  </sheetViews>
  <sheetFormatPr baseColWidth="8" defaultRowHeight="14.5"/>
  <cols>
    <col width="12" customWidth="1" style="36" min="1" max="1"/>
    <col width="11" customWidth="1" style="36" min="2" max="3"/>
    <col width="30" customWidth="1" style="36" min="4" max="4"/>
    <col width="7" customWidth="1" style="36" min="5" max="5"/>
    <col width="11" customWidth="1" style="36" min="6" max="6"/>
    <col width="8" customWidth="1" style="36" min="7" max="7"/>
    <col width="11" customWidth="1" style="36" min="8" max="8"/>
    <col width="10" customWidth="1" style="36" min="9" max="9"/>
    <col width="12" customWidth="1" style="36" min="10" max="10"/>
    <col width="11" customWidth="1" style="36" min="11" max="11"/>
    <col width="10" customWidth="1" style="36" min="12" max="13"/>
    <col width="8" customWidth="1" style="36" min="14" max="14"/>
    <col width="34" customWidth="1" style="36" min="15" max="15"/>
  </cols>
  <sheetData>
    <row r="1">
      <c r="A1" s="8" t="inlineStr">
        <is>
          <t>Date</t>
        </is>
      </c>
      <c r="B1" s="8" t="inlineStr">
        <is>
          <t>Time (IST)</t>
        </is>
      </c>
      <c r="C1" s="8" t="inlineStr">
        <is>
          <t>Underlying</t>
        </is>
      </c>
      <c r="D1" s="8" t="inlineStr">
        <is>
          <t>Contract</t>
        </is>
      </c>
      <c r="E1" s="8" t="inlineStr">
        <is>
          <t>Side</t>
        </is>
      </c>
      <c r="F1" s="8" t="inlineStr">
        <is>
          <t>Option LTP</t>
        </is>
      </c>
      <c r="G1" s="8" t="inlineStr">
        <is>
          <t>Score</t>
        </is>
      </c>
      <c r="H1" s="8" t="inlineStr">
        <is>
          <t>Moneyness</t>
        </is>
      </c>
      <c r="I1" s="8" t="inlineStr">
        <is>
          <t>Est. Delta</t>
        </is>
      </c>
      <c r="J1" s="8" t="inlineStr">
        <is>
          <t>Entry (spot)</t>
        </is>
      </c>
      <c r="K1" s="8" t="inlineStr">
        <is>
          <t>Stop (spot)</t>
        </is>
      </c>
      <c r="L1" s="8" t="inlineStr">
        <is>
          <t>Target 1</t>
        </is>
      </c>
      <c r="M1" s="8" t="inlineStr">
        <is>
          <t>Target 2</t>
        </is>
      </c>
      <c r="N1" s="8" t="inlineStr">
        <is>
          <t>R:R</t>
        </is>
      </c>
      <c r="O1" s="8" t="inlineStr">
        <is>
          <t>Outcome / Notes</t>
        </is>
      </c>
    </row>
    <row r="2" ht="26" customHeight="1" s="36">
      <c r="A2" s="9" t="inlineStr">
        <is>
          <t>2026-09-04</t>
        </is>
      </c>
      <c r="B2" s="9" t="inlineStr">
        <is>
          <t>10:47</t>
        </is>
      </c>
      <c r="C2" s="9" t="inlineStr">
        <is>
          <t>NIFTY</t>
        </is>
      </c>
      <c r="D2" s="10" t="inlineStr">
        <is>
          <t>NIFTY 2026-09-04 24100 CE</t>
        </is>
      </c>
      <c r="E2" s="9" t="inlineStr">
        <is>
          <t>CE</t>
        </is>
      </c>
      <c r="F2" s="9" t="n">
        <v>96.40000000000001</v>
      </c>
      <c r="G2" s="9" t="n">
        <v>78</v>
      </c>
      <c r="H2" s="9" t="inlineStr">
        <is>
          <t>ATM</t>
        </is>
      </c>
      <c r="I2" s="9" t="n">
        <v>0.49</v>
      </c>
      <c r="J2" s="9" t="n">
        <v>24118</v>
      </c>
      <c r="K2" s="9" t="n">
        <v>24072</v>
      </c>
      <c r="L2" s="9" t="n">
        <v>24193</v>
      </c>
      <c r="M2" s="9" t="n">
        <v>24263</v>
      </c>
      <c r="N2" s="9" t="n">
        <v>1.63</v>
      </c>
      <c r="O2" s="10" t="inlineStr">
        <is>
          <t>Confirmed TAKE — logged automatically at candle close.</t>
        </is>
      </c>
    </row>
    <row r="3">
      <c r="A3" s="20" t="inlineStr">
        <is>
          <t>2026-09-11</t>
        </is>
      </c>
      <c r="B3" s="20" t="inlineStr">
        <is>
          <t>14:00</t>
        </is>
      </c>
      <c r="C3" s="20" t="inlineStr">
        <is>
          <t>NIFTY</t>
        </is>
      </c>
      <c r="D3" s="20" t="inlineStr">
        <is>
          <t>NIFTY 2026-09-15 23350 CE</t>
        </is>
      </c>
      <c r="E3" s="20" t="inlineStr">
        <is>
          <t>CE</t>
        </is>
      </c>
      <c r="F3" s="20" t="n">
        <v>136.35</v>
      </c>
      <c r="G3" s="20" t="n">
        <v>85</v>
      </c>
      <c r="H3" s="20" t="inlineStr">
        <is>
          <t>ATM</t>
        </is>
      </c>
      <c r="I3" s="20" t="n">
        <v>0.5</v>
      </c>
      <c r="J3" s="20" t="n">
        <v>23352</v>
      </c>
      <c r="K3" s="20" t="n">
        <v>23327</v>
      </c>
      <c r="L3" s="20" t="n">
        <v>23392</v>
      </c>
      <c r="M3" s="20" t="n">
        <v>23412</v>
      </c>
      <c r="N3" s="20" t="n">
        <v>1.6</v>
      </c>
      <c r="O3" s="20" t="inlineStr">
        <is>
          <t>CONFIRMED LONG flip - 23352 broke, retested, held (strongest 5yr level, 99t). TAKEN late at spot 23385 via 23300 CE @172.25 (ideal 23352 retest passed by the confirm+relay lag). Exit 192.95 (14:09) = +Rs1,345.50. See Paper Trades r3.</t>
        </is>
      </c>
    </row>
    <row r="4">
      <c r="A4" s="20" t="inlineStr">
        <is>
          <t>2026-09-11</t>
        </is>
      </c>
      <c r="B4" s="20" t="inlineStr">
        <is>
          <t>14:30</t>
        </is>
      </c>
      <c r="C4" s="20" t="inlineStr">
        <is>
          <t>NIFTY</t>
        </is>
      </c>
      <c r="D4" s="20" t="inlineStr">
        <is>
          <t>NIFTY 2026-09-15 23450 PE</t>
        </is>
      </c>
      <c r="E4" s="20" t="inlineStr">
        <is>
          <t>PE</t>
        </is>
      </c>
      <c r="F4" s="20" t="n">
        <v>102.8</v>
      </c>
      <c r="G4" s="20" t="n">
        <v>85</v>
      </c>
      <c r="H4" s="20" t="inlineStr">
        <is>
          <t>ITM</t>
        </is>
      </c>
      <c r="I4" s="20" t="n">
        <v>0.55</v>
      </c>
      <c r="J4" s="20" t="n">
        <v>23435</v>
      </c>
      <c r="K4" s="20" t="n">
        <v>23460</v>
      </c>
      <c r="L4" s="20" t="n">
        <v>23395</v>
      </c>
      <c r="M4" s="20" t="n">
        <v>23374</v>
      </c>
      <c r="N4" s="20" t="n">
        <v>1.6</v>
      </c>
      <c r="O4" s="20" t="inlineStr">
        <is>
          <t>CONFIRMED SHORT flip - 23435 broke down, retest rejected. TAKEN at the retest @102.80 (23450 PE). Banked half at target 23395 (~121), closed runner ~118.9 on the 15:25 rule = +Rs1,120. See Paper Trades r4. Textbook entry at the level.</t>
        </is>
      </c>
    </row>
    <row r="5">
      <c r="A5" s="20" t="inlineStr">
        <is>
          <t>2026-09-15</t>
        </is>
      </c>
      <c r="B5" s="20" t="inlineStr">
        <is>
          <t>09:25</t>
        </is>
      </c>
      <c r="C5" s="20" t="inlineStr">
        <is>
          <t>NIFTY</t>
        </is>
      </c>
      <c r="D5" s="20" t="inlineStr">
        <is>
          <t>NIFTY 2026-09-15 23700 PE</t>
        </is>
      </c>
      <c r="E5" s="20" t="inlineStr">
        <is>
          <t>PE</t>
        </is>
      </c>
      <c r="F5" s="20" t="n">
        <v>235</v>
      </c>
      <c r="G5" s="20" t="n">
        <v>85</v>
      </c>
      <c r="H5" s="20" t="inlineStr">
        <is>
          <t>ITM (deep)</t>
        </is>
      </c>
      <c r="I5" s="20" t="n">
        <v>0.95</v>
      </c>
      <c r="J5" s="20" t="n">
        <v>23500</v>
      </c>
      <c r="K5" s="20" t="n">
        <v>23525</v>
      </c>
      <c r="L5" s="20" t="n">
        <v>23460</v>
      </c>
      <c r="M5" s="20" t="n">
        <v>23435</v>
      </c>
      <c r="N5" s="20" t="n">
        <v>1.6</v>
      </c>
      <c r="O5" s="20" t="inlineStr">
        <is>
          <t>CONFIRMED SHORT flip (23500 broke, retest rejected). TAKEN 09:25 as app capture via 23700 PE (deep ITM). Held the trend to 12:30, 235-&gt;365 = +Rs8,450. See Paper Trades.</t>
        </is>
      </c>
    </row>
    <row r="6">
      <c r="A6" s="20" t="n"/>
      <c r="B6" s="20" t="n"/>
      <c r="C6" s="20" t="n"/>
      <c r="D6" s="20" t="n"/>
      <c r="E6" s="20" t="n"/>
      <c r="F6" s="20" t="n"/>
      <c r="G6" s="20" t="n"/>
      <c r="H6" s="20" t="n"/>
      <c r="I6" s="20" t="n"/>
      <c r="J6" s="20" t="n"/>
      <c r="K6" s="20" t="n"/>
      <c r="L6" s="20" t="n"/>
      <c r="M6" s="20" t="n"/>
      <c r="N6" s="20" t="n"/>
      <c r="O6" s="20" t="n"/>
    </row>
    <row r="7">
      <c r="A7" s="20" t="n"/>
      <c r="B7" s="20" t="n"/>
      <c r="C7" s="20" t="n"/>
      <c r="D7" s="20" t="n"/>
      <c r="E7" s="20" t="n"/>
      <c r="F7" s="20" t="n"/>
      <c r="G7" s="20" t="n"/>
      <c r="H7" s="20" t="n"/>
      <c r="I7" s="20" t="n"/>
      <c r="J7" s="20" t="n"/>
      <c r="K7" s="20" t="n"/>
      <c r="L7" s="20" t="n"/>
      <c r="M7" s="20" t="n"/>
      <c r="N7" s="20" t="n"/>
      <c r="O7" s="20" t="n"/>
    </row>
    <row r="8">
      <c r="A8" s="20" t="n"/>
      <c r="B8" s="20" t="n"/>
      <c r="C8" s="20" t="n"/>
      <c r="D8" s="20" t="n"/>
      <c r="E8" s="20" t="n"/>
      <c r="F8" s="20" t="n"/>
      <c r="G8" s="20" t="n"/>
      <c r="H8" s="20" t="n"/>
      <c r="I8" s="20" t="n"/>
      <c r="J8" s="20" t="n"/>
      <c r="K8" s="20" t="n"/>
      <c r="L8" s="20" t="n"/>
      <c r="M8" s="20" t="n"/>
      <c r="N8" s="20" t="n"/>
      <c r="O8" s="20" t="n"/>
    </row>
    <row r="9">
      <c r="A9" s="20" t="n"/>
      <c r="B9" s="20" t="n"/>
      <c r="C9" s="20" t="n"/>
      <c r="D9" s="20" t="n"/>
      <c r="E9" s="20" t="n"/>
      <c r="F9" s="20" t="n"/>
      <c r="G9" s="20" t="n"/>
      <c r="H9" s="20" t="n"/>
      <c r="I9" s="20" t="n"/>
      <c r="J9" s="20" t="n"/>
      <c r="K9" s="20" t="n"/>
      <c r="L9" s="20" t="n"/>
      <c r="M9" s="20" t="n"/>
      <c r="N9" s="20" t="n"/>
      <c r="O9" s="20" t="n"/>
    </row>
    <row r="10">
      <c r="A10" s="20" t="n"/>
      <c r="B10" s="20" t="n"/>
      <c r="C10" s="20" t="n"/>
      <c r="D10" s="20" t="n"/>
      <c r="E10" s="20" t="n"/>
      <c r="F10" s="20" t="n"/>
      <c r="G10" s="20" t="n"/>
      <c r="H10" s="20" t="n"/>
      <c r="I10" s="20" t="n"/>
      <c r="J10" s="20" t="n"/>
      <c r="K10" s="20" t="n"/>
      <c r="L10" s="20" t="n"/>
      <c r="M10" s="20" t="n"/>
      <c r="N10" s="20" t="n"/>
      <c r="O10" s="20" t="n"/>
    </row>
    <row r="11">
      <c r="A11" s="20" t="n"/>
      <c r="B11" s="20" t="n"/>
      <c r="C11" s="20" t="n"/>
      <c r="D11" s="20" t="n"/>
      <c r="E11" s="20" t="n"/>
      <c r="F11" s="20" t="n"/>
      <c r="G11" s="20" t="n"/>
      <c r="H11" s="20" t="n"/>
      <c r="I11" s="20" t="n"/>
      <c r="J11" s="20" t="n"/>
      <c r="K11" s="20" t="n"/>
      <c r="L11" s="20" t="n"/>
      <c r="M11" s="20" t="n"/>
      <c r="N11" s="20" t="n"/>
      <c r="O11" s="20" t="n"/>
    </row>
    <row r="12">
      <c r="A12" s="20" t="n"/>
      <c r="B12" s="20" t="n"/>
      <c r="C12" s="20" t="n"/>
      <c r="D12" s="20" t="n"/>
      <c r="E12" s="20" t="n"/>
      <c r="F12" s="20" t="n"/>
      <c r="G12" s="20" t="n"/>
      <c r="H12" s="20" t="n"/>
      <c r="I12" s="20" t="n"/>
      <c r="J12" s="20" t="n"/>
      <c r="K12" s="20" t="n"/>
      <c r="L12" s="20" t="n"/>
      <c r="M12" s="20" t="n"/>
      <c r="N12" s="20" t="n"/>
      <c r="O12" s="20" t="n"/>
    </row>
    <row r="13">
      <c r="A13" s="20" t="n"/>
      <c r="B13" s="20" t="n"/>
      <c r="C13" s="20" t="n"/>
      <c r="D13" s="20" t="n"/>
      <c r="E13" s="20" t="n"/>
      <c r="F13" s="20" t="n"/>
      <c r="G13" s="20" t="n"/>
      <c r="H13" s="20" t="n"/>
      <c r="I13" s="20" t="n"/>
      <c r="J13" s="20" t="n"/>
      <c r="K13" s="20" t="n"/>
      <c r="L13" s="20" t="n"/>
      <c r="M13" s="20" t="n"/>
      <c r="N13" s="20" t="n"/>
      <c r="O13" s="20" t="n"/>
    </row>
    <row r="14">
      <c r="A14" s="20" t="n"/>
      <c r="B14" s="20" t="n"/>
      <c r="C14" s="20" t="n"/>
      <c r="D14" s="20" t="n"/>
      <c r="E14" s="20" t="n"/>
      <c r="F14" s="20" t="n"/>
      <c r="G14" s="20" t="n"/>
      <c r="H14" s="20" t="n"/>
      <c r="I14" s="20" t="n"/>
      <c r="J14" s="20" t="n"/>
      <c r="K14" s="20" t="n"/>
      <c r="L14" s="20" t="n"/>
      <c r="M14" s="20" t="n"/>
      <c r="N14" s="20" t="n"/>
      <c r="O14" s="20" t="n"/>
    </row>
    <row r="15">
      <c r="A15" s="20" t="n"/>
      <c r="B15" s="20" t="n"/>
      <c r="C15" s="20" t="n"/>
      <c r="D15" s="20" t="n"/>
      <c r="E15" s="20" t="n"/>
      <c r="F15" s="20" t="n"/>
      <c r="G15" s="20" t="n"/>
      <c r="H15" s="20" t="n"/>
      <c r="I15" s="20" t="n"/>
      <c r="J15" s="20" t="n"/>
      <c r="K15" s="20" t="n"/>
      <c r="L15" s="20" t="n"/>
      <c r="M15" s="20" t="n"/>
      <c r="N15" s="20" t="n"/>
      <c r="O15" s="20" t="n"/>
    </row>
    <row r="16">
      <c r="A16" s="20" t="n"/>
      <c r="B16" s="20" t="n"/>
      <c r="C16" s="20" t="n"/>
      <c r="D16" s="20" t="n"/>
      <c r="E16" s="20" t="n"/>
      <c r="F16" s="20" t="n"/>
      <c r="G16" s="20" t="n"/>
      <c r="H16" s="20" t="n"/>
      <c r="I16" s="20" t="n"/>
      <c r="J16" s="20" t="n"/>
      <c r="K16" s="20" t="n"/>
      <c r="L16" s="20" t="n"/>
      <c r="M16" s="20" t="n"/>
      <c r="N16" s="20" t="n"/>
      <c r="O16" s="20" t="n"/>
    </row>
    <row r="17">
      <c r="A17" s="20" t="n"/>
      <c r="B17" s="20" t="n"/>
      <c r="C17" s="20" t="n"/>
      <c r="D17" s="20" t="n"/>
      <c r="E17" s="20" t="n"/>
      <c r="F17" s="20" t="n"/>
      <c r="G17" s="20" t="n"/>
      <c r="H17" s="20" t="n"/>
      <c r="I17" s="20" t="n"/>
      <c r="J17" s="20" t="n"/>
      <c r="K17" s="20" t="n"/>
      <c r="L17" s="20" t="n"/>
      <c r="M17" s="20" t="n"/>
      <c r="N17" s="20" t="n"/>
      <c r="O17" s="20" t="n"/>
    </row>
    <row r="18">
      <c r="A18" s="20" t="n"/>
      <c r="B18" s="20" t="n"/>
      <c r="C18" s="20" t="n"/>
      <c r="D18" s="20" t="n"/>
      <c r="E18" s="20" t="n"/>
      <c r="F18" s="20" t="n"/>
      <c r="G18" s="20" t="n"/>
      <c r="H18" s="20" t="n"/>
      <c r="I18" s="20" t="n"/>
      <c r="J18" s="20" t="n"/>
      <c r="K18" s="20" t="n"/>
      <c r="L18" s="20" t="n"/>
      <c r="M18" s="20" t="n"/>
      <c r="N18" s="20" t="n"/>
      <c r="O18" s="20" t="n"/>
    </row>
    <row r="19">
      <c r="A19" s="20" t="n"/>
      <c r="B19" s="20" t="n"/>
      <c r="C19" s="20" t="n"/>
      <c r="D19" s="20" t="n"/>
      <c r="E19" s="20" t="n"/>
      <c r="F19" s="20" t="n"/>
      <c r="G19" s="20" t="n"/>
      <c r="H19" s="20" t="n"/>
      <c r="I19" s="20" t="n"/>
      <c r="J19" s="20" t="n"/>
      <c r="K19" s="20" t="n"/>
      <c r="L19" s="20" t="n"/>
      <c r="M19" s="20" t="n"/>
      <c r="N19" s="20" t="n"/>
      <c r="O19" s="20" t="n"/>
    </row>
    <row r="20">
      <c r="A20" s="20" t="n"/>
      <c r="B20" s="20" t="n"/>
      <c r="C20" s="20" t="n"/>
      <c r="D20" s="20" t="n"/>
      <c r="E20" s="20" t="n"/>
      <c r="F20" s="20" t="n"/>
      <c r="G20" s="20" t="n"/>
      <c r="H20" s="20" t="n"/>
      <c r="I20" s="20" t="n"/>
      <c r="J20" s="20" t="n"/>
      <c r="K20" s="20" t="n"/>
      <c r="L20" s="20" t="n"/>
      <c r="M20" s="20" t="n"/>
      <c r="N20" s="20" t="n"/>
      <c r="O20" s="20" t="n"/>
    </row>
    <row r="21">
      <c r="A21" s="20" t="n"/>
      <c r="B21" s="20" t="n"/>
      <c r="C21" s="20" t="n"/>
      <c r="D21" s="20" t="n"/>
      <c r="E21" s="20" t="n"/>
      <c r="F21" s="20" t="n"/>
      <c r="G21" s="20" t="n"/>
      <c r="H21" s="20" t="n"/>
      <c r="I21" s="20" t="n"/>
      <c r="J21" s="20" t="n"/>
      <c r="K21" s="20" t="n"/>
      <c r="L21" s="20" t="n"/>
      <c r="M21" s="20" t="n"/>
      <c r="N21" s="20" t="n"/>
      <c r="O21" s="20" t="n"/>
    </row>
    <row r="22">
      <c r="A22" s="20" t="n"/>
      <c r="B22" s="20" t="n"/>
      <c r="C22" s="20" t="n"/>
      <c r="D22" s="20" t="n"/>
      <c r="E22" s="20" t="n"/>
      <c r="F22" s="20" t="n"/>
      <c r="G22" s="20" t="n"/>
      <c r="H22" s="20" t="n"/>
      <c r="I22" s="20" t="n"/>
      <c r="J22" s="20" t="n"/>
      <c r="K22" s="20" t="n"/>
      <c r="L22" s="20" t="n"/>
      <c r="M22" s="20" t="n"/>
      <c r="N22" s="20" t="n"/>
      <c r="O22" s="20" t="n"/>
    </row>
    <row r="23">
      <c r="A23" s="20" t="n"/>
      <c r="B23" s="20" t="n"/>
      <c r="C23" s="20" t="n"/>
      <c r="D23" s="20" t="n"/>
      <c r="E23" s="20" t="n"/>
      <c r="F23" s="20" t="n"/>
      <c r="G23" s="20" t="n"/>
      <c r="H23" s="20" t="n"/>
      <c r="I23" s="20" t="n"/>
      <c r="J23" s="20" t="n"/>
      <c r="K23" s="20" t="n"/>
      <c r="L23" s="20" t="n"/>
      <c r="M23" s="20" t="n"/>
      <c r="N23" s="20" t="n"/>
      <c r="O23" s="20" t="n"/>
    </row>
    <row r="24">
      <c r="A24" s="20" t="n"/>
      <c r="B24" s="20" t="n"/>
      <c r="C24" s="20" t="n"/>
      <c r="D24" s="20" t="n"/>
      <c r="E24" s="20" t="n"/>
      <c r="F24" s="20" t="n"/>
      <c r="G24" s="20" t="n"/>
      <c r="H24" s="20" t="n"/>
      <c r="I24" s="20" t="n"/>
      <c r="J24" s="20" t="n"/>
      <c r="K24" s="20" t="n"/>
      <c r="L24" s="20" t="n"/>
      <c r="M24" s="20" t="n"/>
      <c r="N24" s="20" t="n"/>
      <c r="O24" s="20" t="n"/>
    </row>
    <row r="25">
      <c r="A25" s="20" t="n"/>
      <c r="B25" s="20" t="n"/>
      <c r="C25" s="20" t="n"/>
      <c r="D25" s="20" t="n"/>
      <c r="E25" s="20" t="n"/>
      <c r="F25" s="20" t="n"/>
      <c r="G25" s="20" t="n"/>
      <c r="H25" s="20" t="n"/>
      <c r="I25" s="20" t="n"/>
      <c r="J25" s="20" t="n"/>
      <c r="K25" s="20" t="n"/>
      <c r="L25" s="20" t="n"/>
      <c r="M25" s="20" t="n"/>
      <c r="N25" s="20" t="n"/>
      <c r="O25" s="20" t="n"/>
    </row>
    <row r="26">
      <c r="A26" s="20" t="n"/>
      <c r="B26" s="20" t="n"/>
      <c r="C26" s="20" t="n"/>
      <c r="D26" s="20" t="n"/>
      <c r="E26" s="20" t="n"/>
      <c r="F26" s="20" t="n"/>
      <c r="G26" s="20" t="n"/>
      <c r="H26" s="20" t="n"/>
      <c r="I26" s="20" t="n"/>
      <c r="J26" s="20" t="n"/>
      <c r="K26" s="20" t="n"/>
      <c r="L26" s="20" t="n"/>
      <c r="M26" s="20" t="n"/>
      <c r="N26" s="20" t="n"/>
      <c r="O26" s="20" t="n"/>
    </row>
    <row r="27">
      <c r="A27" s="20" t="n"/>
      <c r="B27" s="20" t="n"/>
      <c r="C27" s="20" t="n"/>
      <c r="D27" s="20" t="n"/>
      <c r="E27" s="20" t="n"/>
      <c r="F27" s="20" t="n"/>
      <c r="G27" s="20" t="n"/>
      <c r="H27" s="20" t="n"/>
      <c r="I27" s="20" t="n"/>
      <c r="J27" s="20" t="n"/>
      <c r="K27" s="20" t="n"/>
      <c r="L27" s="20" t="n"/>
      <c r="M27" s="20" t="n"/>
      <c r="N27" s="20" t="n"/>
      <c r="O27" s="20" t="n"/>
    </row>
    <row r="28">
      <c r="A28" s="20" t="n"/>
      <c r="B28" s="20" t="n"/>
      <c r="C28" s="20" t="n"/>
      <c r="D28" s="20" t="n"/>
      <c r="E28" s="20" t="n"/>
      <c r="F28" s="20" t="n"/>
      <c r="G28" s="20" t="n"/>
      <c r="H28" s="20" t="n"/>
      <c r="I28" s="20" t="n"/>
      <c r="J28" s="20" t="n"/>
      <c r="K28" s="20" t="n"/>
      <c r="L28" s="20" t="n"/>
      <c r="M28" s="20" t="n"/>
      <c r="N28" s="20" t="n"/>
      <c r="O28" s="20" t="n"/>
    </row>
    <row r="29">
      <c r="A29" s="20" t="n"/>
      <c r="B29" s="20" t="n"/>
      <c r="C29" s="20" t="n"/>
      <c r="D29" s="20" t="n"/>
      <c r="E29" s="20" t="n"/>
      <c r="F29" s="20" t="n"/>
      <c r="G29" s="20" t="n"/>
      <c r="H29" s="20" t="n"/>
      <c r="I29" s="20" t="n"/>
      <c r="J29" s="20" t="n"/>
      <c r="K29" s="20" t="n"/>
      <c r="L29" s="20" t="n"/>
      <c r="M29" s="20" t="n"/>
      <c r="N29" s="20" t="n"/>
      <c r="O29" s="20" t="n"/>
    </row>
    <row r="30">
      <c r="A30" s="20" t="n"/>
      <c r="B30" s="20" t="n"/>
      <c r="C30" s="20" t="n"/>
      <c r="D30" s="20" t="n"/>
      <c r="E30" s="20" t="n"/>
      <c r="F30" s="20" t="n"/>
      <c r="G30" s="20" t="n"/>
      <c r="H30" s="20" t="n"/>
      <c r="I30" s="20" t="n"/>
      <c r="J30" s="20" t="n"/>
      <c r="K30" s="20" t="n"/>
      <c r="L30" s="20" t="n"/>
      <c r="M30" s="20" t="n"/>
      <c r="N30" s="20" t="n"/>
      <c r="O30" s="20" t="n"/>
    </row>
    <row r="31">
      <c r="A31" s="20" t="n"/>
      <c r="B31" s="20" t="n"/>
      <c r="C31" s="20" t="n"/>
      <c r="D31" s="20" t="n"/>
      <c r="E31" s="20" t="n"/>
      <c r="F31" s="20" t="n"/>
      <c r="G31" s="20" t="n"/>
      <c r="H31" s="20" t="n"/>
      <c r="I31" s="20" t="n"/>
      <c r="J31" s="20" t="n"/>
      <c r="K31" s="20" t="n"/>
      <c r="L31" s="20" t="n"/>
      <c r="M31" s="20" t="n"/>
      <c r="N31" s="20" t="n"/>
      <c r="O31" s="20" t="n"/>
    </row>
    <row r="32">
      <c r="A32" s="20" t="n"/>
      <c r="B32" s="20" t="n"/>
      <c r="C32" s="20" t="n"/>
      <c r="D32" s="20" t="n"/>
      <c r="E32" s="20" t="n"/>
      <c r="F32" s="20" t="n"/>
      <c r="G32" s="20" t="n"/>
      <c r="H32" s="20" t="n"/>
      <c r="I32" s="20" t="n"/>
      <c r="J32" s="20" t="n"/>
      <c r="K32" s="20" t="n"/>
      <c r="L32" s="20" t="n"/>
      <c r="M32" s="20" t="n"/>
      <c r="N32" s="20" t="n"/>
      <c r="O32" s="20" t="n"/>
    </row>
    <row r="33">
      <c r="A33" s="20" t="n"/>
      <c r="B33" s="20" t="n"/>
      <c r="C33" s="20" t="n"/>
      <c r="D33" s="20" t="n"/>
      <c r="E33" s="20" t="n"/>
      <c r="F33" s="20" t="n"/>
      <c r="G33" s="20" t="n"/>
      <c r="H33" s="20" t="n"/>
      <c r="I33" s="20" t="n"/>
      <c r="J33" s="20" t="n"/>
      <c r="K33" s="20" t="n"/>
      <c r="L33" s="20" t="n"/>
      <c r="M33" s="20" t="n"/>
      <c r="N33" s="20" t="n"/>
      <c r="O33" s="20" t="n"/>
    </row>
    <row r="34">
      <c r="A34" s="20" t="n"/>
      <c r="B34" s="20" t="n"/>
      <c r="C34" s="20" t="n"/>
      <c r="D34" s="20" t="n"/>
      <c r="E34" s="20" t="n"/>
      <c r="F34" s="20" t="n"/>
      <c r="G34" s="20" t="n"/>
      <c r="H34" s="20" t="n"/>
      <c r="I34" s="20" t="n"/>
      <c r="J34" s="20" t="n"/>
      <c r="K34" s="20" t="n"/>
      <c r="L34" s="20" t="n"/>
      <c r="M34" s="20" t="n"/>
      <c r="N34" s="20" t="n"/>
      <c r="O34" s="20" t="n"/>
    </row>
    <row r="35">
      <c r="A35" s="20" t="n"/>
      <c r="B35" s="20" t="n"/>
      <c r="C35" s="20" t="n"/>
      <c r="D35" s="20" t="n"/>
      <c r="E35" s="20" t="n"/>
      <c r="F35" s="20" t="n"/>
      <c r="G35" s="20" t="n"/>
      <c r="H35" s="20" t="n"/>
      <c r="I35" s="20" t="n"/>
      <c r="J35" s="20" t="n"/>
      <c r="K35" s="20" t="n"/>
      <c r="L35" s="20" t="n"/>
      <c r="M35" s="20" t="n"/>
      <c r="N35" s="20" t="n"/>
      <c r="O35" s="20" t="n"/>
    </row>
    <row r="36">
      <c r="A36" s="20" t="n"/>
      <c r="B36" s="20" t="n"/>
      <c r="C36" s="20" t="n"/>
      <c r="D36" s="20" t="n"/>
      <c r="E36" s="20" t="n"/>
      <c r="F36" s="20" t="n"/>
      <c r="G36" s="20" t="n"/>
      <c r="H36" s="20" t="n"/>
      <c r="I36" s="20" t="n"/>
      <c r="J36" s="20" t="n"/>
      <c r="K36" s="20" t="n"/>
      <c r="L36" s="20" t="n"/>
      <c r="M36" s="20" t="n"/>
      <c r="N36" s="20" t="n"/>
      <c r="O36" s="20" t="n"/>
    </row>
    <row r="37">
      <c r="A37" s="20" t="n"/>
      <c r="B37" s="20" t="n"/>
      <c r="C37" s="20" t="n"/>
      <c r="D37" s="20" t="n"/>
      <c r="E37" s="20" t="n"/>
      <c r="F37" s="20" t="n"/>
      <c r="G37" s="20" t="n"/>
      <c r="H37" s="20" t="n"/>
      <c r="I37" s="20" t="n"/>
      <c r="J37" s="20" t="n"/>
      <c r="K37" s="20" t="n"/>
      <c r="L37" s="20" t="n"/>
      <c r="M37" s="20" t="n"/>
      <c r="N37" s="20" t="n"/>
      <c r="O37" s="20" t="n"/>
    </row>
    <row r="38">
      <c r="A38" s="20" t="n"/>
      <c r="B38" s="20" t="n"/>
      <c r="C38" s="20" t="n"/>
      <c r="D38" s="20" t="n"/>
      <c r="E38" s="20" t="n"/>
      <c r="F38" s="20" t="n"/>
      <c r="G38" s="20" t="n"/>
      <c r="H38" s="20" t="n"/>
      <c r="I38" s="20" t="n"/>
      <c r="J38" s="20" t="n"/>
      <c r="K38" s="20" t="n"/>
      <c r="L38" s="20" t="n"/>
      <c r="M38" s="20" t="n"/>
      <c r="N38" s="20" t="n"/>
      <c r="O38" s="20" t="n"/>
    </row>
    <row r="39">
      <c r="A39" s="20" t="n"/>
      <c r="B39" s="20" t="n"/>
      <c r="C39" s="20" t="n"/>
      <c r="D39" s="20" t="n"/>
      <c r="E39" s="20" t="n"/>
      <c r="F39" s="20" t="n"/>
      <c r="G39" s="20" t="n"/>
      <c r="H39" s="20" t="n"/>
      <c r="I39" s="20" t="n"/>
      <c r="J39" s="20" t="n"/>
      <c r="K39" s="20" t="n"/>
      <c r="L39" s="20" t="n"/>
      <c r="M39" s="20" t="n"/>
      <c r="N39" s="20" t="n"/>
      <c r="O39" s="20" t="n"/>
    </row>
    <row r="40">
      <c r="A40" s="20" t="n"/>
      <c r="B40" s="20" t="n"/>
      <c r="C40" s="20" t="n"/>
      <c r="D40" s="20" t="n"/>
      <c r="E40" s="20" t="n"/>
      <c r="F40" s="20" t="n"/>
      <c r="G40" s="20" t="n"/>
      <c r="H40" s="20" t="n"/>
      <c r="I40" s="20" t="n"/>
      <c r="J40" s="20" t="n"/>
      <c r="K40" s="20" t="n"/>
      <c r="L40" s="20" t="n"/>
      <c r="M40" s="20" t="n"/>
      <c r="N40" s="20" t="n"/>
      <c r="O40" s="20" t="n"/>
    </row>
    <row r="41">
      <c r="A41" s="20" t="n"/>
      <c r="B41" s="20" t="n"/>
      <c r="C41" s="20" t="n"/>
      <c r="D41" s="20" t="n"/>
      <c r="E41" s="20" t="n"/>
      <c r="F41" s="20" t="n"/>
      <c r="G41" s="20" t="n"/>
      <c r="H41" s="20" t="n"/>
      <c r="I41" s="20" t="n"/>
      <c r="J41" s="20" t="n"/>
      <c r="K41" s="20" t="n"/>
      <c r="L41" s="20" t="n"/>
      <c r="M41" s="20" t="n"/>
      <c r="N41" s="20" t="n"/>
      <c r="O41" s="20" t="n"/>
    </row>
    <row r="42">
      <c r="A42" s="20" t="n"/>
      <c r="B42" s="20" t="n"/>
      <c r="C42" s="20" t="n"/>
      <c r="D42" s="20" t="n"/>
      <c r="E42" s="20" t="n"/>
      <c r="F42" s="20" t="n"/>
      <c r="G42" s="20" t="n"/>
      <c r="H42" s="20" t="n"/>
      <c r="I42" s="20" t="n"/>
      <c r="J42" s="20" t="n"/>
      <c r="K42" s="20" t="n"/>
      <c r="L42" s="20" t="n"/>
      <c r="M42" s="20" t="n"/>
      <c r="N42" s="20" t="n"/>
      <c r="O42" s="20" t="n"/>
    </row>
    <row r="43">
      <c r="A43" s="20" t="n"/>
      <c r="B43" s="20" t="n"/>
      <c r="C43" s="20" t="n"/>
      <c r="D43" s="20" t="n"/>
      <c r="E43" s="20" t="n"/>
      <c r="F43" s="20" t="n"/>
      <c r="G43" s="20" t="n"/>
      <c r="H43" s="20" t="n"/>
      <c r="I43" s="20" t="n"/>
      <c r="J43" s="20" t="n"/>
      <c r="K43" s="20" t="n"/>
      <c r="L43" s="20" t="n"/>
      <c r="M43" s="20" t="n"/>
      <c r="N43" s="20" t="n"/>
      <c r="O43" s="20" t="n"/>
    </row>
    <row r="44">
      <c r="A44" s="20" t="n"/>
      <c r="B44" s="20" t="n"/>
      <c r="C44" s="20" t="n"/>
      <c r="D44" s="20" t="n"/>
      <c r="E44" s="20" t="n"/>
      <c r="F44" s="20" t="n"/>
      <c r="G44" s="20" t="n"/>
      <c r="H44" s="20" t="n"/>
      <c r="I44" s="20" t="n"/>
      <c r="J44" s="20" t="n"/>
      <c r="K44" s="20" t="n"/>
      <c r="L44" s="20" t="n"/>
      <c r="M44" s="20" t="n"/>
      <c r="N44" s="20" t="n"/>
      <c r="O44" s="20" t="n"/>
    </row>
    <row r="45">
      <c r="A45" s="20" t="n"/>
      <c r="B45" s="20" t="n"/>
      <c r="C45" s="20" t="n"/>
      <c r="D45" s="20" t="n"/>
      <c r="E45" s="20" t="n"/>
      <c r="F45" s="20" t="n"/>
      <c r="G45" s="20" t="n"/>
      <c r="H45" s="20" t="n"/>
      <c r="I45" s="20" t="n"/>
      <c r="J45" s="20" t="n"/>
      <c r="K45" s="20" t="n"/>
      <c r="L45" s="20" t="n"/>
      <c r="M45" s="20" t="n"/>
      <c r="N45" s="20" t="n"/>
      <c r="O45" s="20" t="n"/>
    </row>
    <row r="46">
      <c r="A46" s="20" t="n"/>
      <c r="B46" s="20" t="n"/>
      <c r="C46" s="20" t="n"/>
      <c r="D46" s="20" t="n"/>
      <c r="E46" s="20" t="n"/>
      <c r="F46" s="20" t="n"/>
      <c r="G46" s="20" t="n"/>
      <c r="H46" s="20" t="n"/>
      <c r="I46" s="20" t="n"/>
      <c r="J46" s="20" t="n"/>
      <c r="K46" s="20" t="n"/>
      <c r="L46" s="20" t="n"/>
      <c r="M46" s="20" t="n"/>
      <c r="N46" s="20" t="n"/>
      <c r="O46" s="20" t="n"/>
    </row>
    <row r="47">
      <c r="A47" s="20" t="n"/>
      <c r="B47" s="20" t="n"/>
      <c r="C47" s="20" t="n"/>
      <c r="D47" s="20" t="n"/>
      <c r="E47" s="20" t="n"/>
      <c r="F47" s="20" t="n"/>
      <c r="G47" s="20" t="n"/>
      <c r="H47" s="20" t="n"/>
      <c r="I47" s="20" t="n"/>
      <c r="J47" s="20" t="n"/>
      <c r="K47" s="20" t="n"/>
      <c r="L47" s="20" t="n"/>
      <c r="M47" s="20" t="n"/>
      <c r="N47" s="20" t="n"/>
      <c r="O47" s="20" t="n"/>
    </row>
    <row r="48">
      <c r="A48" s="20" t="n"/>
      <c r="B48" s="20" t="n"/>
      <c r="C48" s="20" t="n"/>
      <c r="D48" s="20" t="n"/>
      <c r="E48" s="20" t="n"/>
      <c r="F48" s="20" t="n"/>
      <c r="G48" s="20" t="n"/>
      <c r="H48" s="20" t="n"/>
      <c r="I48" s="20" t="n"/>
      <c r="J48" s="20" t="n"/>
      <c r="K48" s="20" t="n"/>
      <c r="L48" s="20" t="n"/>
      <c r="M48" s="20" t="n"/>
      <c r="N48" s="20" t="n"/>
      <c r="O48" s="20" t="n"/>
    </row>
    <row r="49">
      <c r="A49" s="20" t="n"/>
      <c r="B49" s="20" t="n"/>
      <c r="C49" s="20" t="n"/>
      <c r="D49" s="20" t="n"/>
      <c r="E49" s="20" t="n"/>
      <c r="F49" s="20" t="n"/>
      <c r="G49" s="20" t="n"/>
      <c r="H49" s="20" t="n"/>
      <c r="I49" s="20" t="n"/>
      <c r="J49" s="20" t="n"/>
      <c r="K49" s="20" t="n"/>
      <c r="L49" s="20" t="n"/>
      <c r="M49" s="20" t="n"/>
      <c r="N49" s="20" t="n"/>
      <c r="O49" s="20" t="n"/>
    </row>
    <row r="50">
      <c r="A50" s="20" t="n"/>
      <c r="B50" s="20" t="n"/>
      <c r="C50" s="20" t="n"/>
      <c r="D50" s="20" t="n"/>
      <c r="E50" s="20" t="n"/>
      <c r="F50" s="20" t="n"/>
      <c r="G50" s="20" t="n"/>
      <c r="H50" s="20" t="n"/>
      <c r="I50" s="20" t="n"/>
      <c r="J50" s="20" t="n"/>
      <c r="K50" s="20" t="n"/>
      <c r="L50" s="20" t="n"/>
      <c r="M50" s="20" t="n"/>
      <c r="N50" s="20" t="n"/>
      <c r="O50" s="20" t="n"/>
    </row>
    <row r="51">
      <c r="A51" s="20" t="n"/>
      <c r="B51" s="20" t="n"/>
      <c r="C51" s="20" t="n"/>
      <c r="D51" s="20" t="n"/>
      <c r="E51" s="20" t="n"/>
      <c r="F51" s="20" t="n"/>
      <c r="G51" s="20" t="n"/>
      <c r="H51" s="20" t="n"/>
      <c r="I51" s="20" t="n"/>
      <c r="J51" s="20" t="n"/>
      <c r="K51" s="20" t="n"/>
      <c r="L51" s="20" t="n"/>
      <c r="M51" s="20" t="n"/>
      <c r="N51" s="20" t="n"/>
      <c r="O51" s="20" t="n"/>
    </row>
    <row r="52">
      <c r="A52" s="20" t="n"/>
      <c r="B52" s="20" t="n"/>
      <c r="C52" s="20" t="n"/>
      <c r="D52" s="20" t="n"/>
      <c r="E52" s="20" t="n"/>
      <c r="F52" s="20" t="n"/>
      <c r="G52" s="20" t="n"/>
      <c r="H52" s="20" t="n"/>
      <c r="I52" s="20" t="n"/>
      <c r="J52" s="20" t="n"/>
      <c r="K52" s="20" t="n"/>
      <c r="L52" s="20" t="n"/>
      <c r="M52" s="20" t="n"/>
      <c r="N52" s="20" t="n"/>
      <c r="O52" s="20" t="n"/>
    </row>
    <row r="53">
      <c r="A53" s="20" t="n"/>
      <c r="B53" s="20" t="n"/>
      <c r="C53" s="20" t="n"/>
      <c r="D53" s="20" t="n"/>
      <c r="E53" s="20" t="n"/>
      <c r="F53" s="20" t="n"/>
      <c r="G53" s="20" t="n"/>
      <c r="H53" s="20" t="n"/>
      <c r="I53" s="20" t="n"/>
      <c r="J53" s="20" t="n"/>
      <c r="K53" s="20" t="n"/>
      <c r="L53" s="20" t="n"/>
      <c r="M53" s="20" t="n"/>
      <c r="N53" s="20" t="n"/>
      <c r="O53" s="20" t="n"/>
    </row>
    <row r="54">
      <c r="A54" s="20" t="n"/>
      <c r="B54" s="20" t="n"/>
      <c r="C54" s="20" t="n"/>
      <c r="D54" s="20" t="n"/>
      <c r="E54" s="20" t="n"/>
      <c r="F54" s="20" t="n"/>
      <c r="G54" s="20" t="n"/>
      <c r="H54" s="20" t="n"/>
      <c r="I54" s="20" t="n"/>
      <c r="J54" s="20" t="n"/>
      <c r="K54" s="20" t="n"/>
      <c r="L54" s="20" t="n"/>
      <c r="M54" s="20" t="n"/>
      <c r="N54" s="20" t="n"/>
      <c r="O54" s="20" t="n"/>
    </row>
    <row r="55">
      <c r="A55" s="20" t="n"/>
      <c r="B55" s="20" t="n"/>
      <c r="C55" s="20" t="n"/>
      <c r="D55" s="20" t="n"/>
      <c r="E55" s="20" t="n"/>
      <c r="F55" s="20" t="n"/>
      <c r="G55" s="20" t="n"/>
      <c r="H55" s="20" t="n"/>
      <c r="I55" s="20" t="n"/>
      <c r="J55" s="20" t="n"/>
      <c r="K55" s="20" t="n"/>
      <c r="L55" s="20" t="n"/>
      <c r="M55" s="20" t="n"/>
      <c r="N55" s="20" t="n"/>
      <c r="O55" s="20" t="n"/>
    </row>
    <row r="56">
      <c r="A56" s="20" t="n"/>
      <c r="B56" s="20" t="n"/>
      <c r="C56" s="20" t="n"/>
      <c r="D56" s="20" t="n"/>
      <c r="E56" s="20" t="n"/>
      <c r="F56" s="20" t="n"/>
      <c r="G56" s="20" t="n"/>
      <c r="H56" s="20" t="n"/>
      <c r="I56" s="20" t="n"/>
      <c r="J56" s="20" t="n"/>
      <c r="K56" s="20" t="n"/>
      <c r="L56" s="20" t="n"/>
      <c r="M56" s="20" t="n"/>
      <c r="N56" s="20" t="n"/>
      <c r="O56" s="20" t="n"/>
    </row>
    <row r="57">
      <c r="A57" s="20" t="n"/>
      <c r="B57" s="20" t="n"/>
      <c r="C57" s="20" t="n"/>
      <c r="D57" s="20" t="n"/>
      <c r="E57" s="20" t="n"/>
      <c r="F57" s="20" t="n"/>
      <c r="G57" s="20" t="n"/>
      <c r="H57" s="20" t="n"/>
      <c r="I57" s="20" t="n"/>
      <c r="J57" s="20" t="n"/>
      <c r="K57" s="20" t="n"/>
      <c r="L57" s="20" t="n"/>
      <c r="M57" s="20" t="n"/>
      <c r="N57" s="20" t="n"/>
      <c r="O57" s="20" t="n"/>
    </row>
    <row r="58">
      <c r="A58" s="20" t="n"/>
      <c r="B58" s="20" t="n"/>
      <c r="C58" s="20" t="n"/>
      <c r="D58" s="20" t="n"/>
      <c r="E58" s="20" t="n"/>
      <c r="F58" s="20" t="n"/>
      <c r="G58" s="20" t="n"/>
      <c r="H58" s="20" t="n"/>
      <c r="I58" s="20" t="n"/>
      <c r="J58" s="20" t="n"/>
      <c r="K58" s="20" t="n"/>
      <c r="L58" s="20" t="n"/>
      <c r="M58" s="20" t="n"/>
      <c r="N58" s="20" t="n"/>
      <c r="O58" s="20" t="n"/>
    </row>
    <row r="59">
      <c r="A59" s="20" t="n"/>
      <c r="B59" s="20" t="n"/>
      <c r="C59" s="20" t="n"/>
      <c r="D59" s="20" t="n"/>
      <c r="E59" s="20" t="n"/>
      <c r="F59" s="20" t="n"/>
      <c r="G59" s="20" t="n"/>
      <c r="H59" s="20" t="n"/>
      <c r="I59" s="20" t="n"/>
      <c r="J59" s="20" t="n"/>
      <c r="K59" s="20" t="n"/>
      <c r="L59" s="20" t="n"/>
      <c r="M59" s="20" t="n"/>
      <c r="N59" s="20" t="n"/>
      <c r="O59" s="20" t="n"/>
    </row>
    <row r="60">
      <c r="A60" s="20" t="n"/>
      <c r="B60" s="20" t="n"/>
      <c r="C60" s="20" t="n"/>
      <c r="D60" s="20" t="n"/>
      <c r="E60" s="20" t="n"/>
      <c r="F60" s="20" t="n"/>
      <c r="G60" s="20" t="n"/>
      <c r="H60" s="20" t="n"/>
      <c r="I60" s="20" t="n"/>
      <c r="J60" s="20" t="n"/>
      <c r="K60" s="20" t="n"/>
      <c r="L60" s="20" t="n"/>
      <c r="M60" s="20" t="n"/>
      <c r="N60" s="20" t="n"/>
      <c r="O60" s="20" t="n"/>
    </row>
    <row r="61">
      <c r="A61" s="20" t="n"/>
      <c r="B61" s="20" t="n"/>
      <c r="C61" s="20" t="n"/>
      <c r="D61" s="20" t="n"/>
      <c r="E61" s="20" t="n"/>
      <c r="F61" s="20" t="n"/>
      <c r="G61" s="20" t="n"/>
      <c r="H61" s="20" t="n"/>
      <c r="I61" s="20" t="n"/>
      <c r="J61" s="20" t="n"/>
      <c r="K61" s="20" t="n"/>
      <c r="L61" s="20" t="n"/>
      <c r="M61" s="20" t="n"/>
      <c r="N61" s="20" t="n"/>
      <c r="O61" s="20" t="n"/>
    </row>
    <row r="62">
      <c r="A62" s="20" t="n"/>
      <c r="B62" s="20" t="n"/>
      <c r="C62" s="20" t="n"/>
      <c r="D62" s="20" t="n"/>
      <c r="E62" s="20" t="n"/>
      <c r="F62" s="20" t="n"/>
      <c r="G62" s="20" t="n"/>
      <c r="H62" s="20" t="n"/>
      <c r="I62" s="20" t="n"/>
      <c r="J62" s="20" t="n"/>
      <c r="K62" s="20" t="n"/>
      <c r="L62" s="20" t="n"/>
      <c r="M62" s="20" t="n"/>
      <c r="N62" s="20" t="n"/>
      <c r="O62" s="20" t="n"/>
    </row>
    <row r="63">
      <c r="A63" s="20" t="n"/>
      <c r="B63" s="20" t="n"/>
      <c r="C63" s="20" t="n"/>
      <c r="D63" s="20" t="n"/>
      <c r="E63" s="20" t="n"/>
      <c r="F63" s="20" t="n"/>
      <c r="G63" s="20" t="n"/>
      <c r="H63" s="20" t="n"/>
      <c r="I63" s="20" t="n"/>
      <c r="J63" s="20" t="n"/>
      <c r="K63" s="20" t="n"/>
      <c r="L63" s="20" t="n"/>
      <c r="M63" s="20" t="n"/>
      <c r="N63" s="20" t="n"/>
      <c r="O63" s="20" t="n"/>
    </row>
    <row r="64">
      <c r="A64" s="20" t="n"/>
      <c r="B64" s="20" t="n"/>
      <c r="C64" s="20" t="n"/>
      <c r="D64" s="20" t="n"/>
      <c r="E64" s="20" t="n"/>
      <c r="F64" s="20" t="n"/>
      <c r="G64" s="20" t="n"/>
      <c r="H64" s="20" t="n"/>
      <c r="I64" s="20" t="n"/>
      <c r="J64" s="20" t="n"/>
      <c r="K64" s="20" t="n"/>
      <c r="L64" s="20" t="n"/>
      <c r="M64" s="20" t="n"/>
      <c r="N64" s="20" t="n"/>
      <c r="O64" s="20" t="n"/>
    </row>
    <row r="65">
      <c r="A65" s="20" t="n"/>
      <c r="B65" s="20" t="n"/>
      <c r="C65" s="20" t="n"/>
      <c r="D65" s="20" t="n"/>
      <c r="E65" s="20" t="n"/>
      <c r="F65" s="20" t="n"/>
      <c r="G65" s="20" t="n"/>
      <c r="H65" s="20" t="n"/>
      <c r="I65" s="20" t="n"/>
      <c r="J65" s="20" t="n"/>
      <c r="K65" s="20" t="n"/>
      <c r="L65" s="20" t="n"/>
      <c r="M65" s="20" t="n"/>
      <c r="N65" s="20" t="n"/>
      <c r="O65" s="20" t="n"/>
    </row>
    <row r="66">
      <c r="A66" s="20" t="n"/>
      <c r="B66" s="20" t="n"/>
      <c r="C66" s="20" t="n"/>
      <c r="D66" s="20" t="n"/>
      <c r="E66" s="20" t="n"/>
      <c r="F66" s="20" t="n"/>
      <c r="G66" s="20" t="n"/>
      <c r="H66" s="20" t="n"/>
      <c r="I66" s="20" t="n"/>
      <c r="J66" s="20" t="n"/>
      <c r="K66" s="20" t="n"/>
      <c r="L66" s="20" t="n"/>
      <c r="M66" s="20" t="n"/>
      <c r="N66" s="20" t="n"/>
      <c r="O66" s="20" t="n"/>
    </row>
    <row r="67">
      <c r="A67" s="20" t="n"/>
      <c r="B67" s="20" t="n"/>
      <c r="C67" s="20" t="n"/>
      <c r="D67" s="20" t="n"/>
      <c r="E67" s="20" t="n"/>
      <c r="F67" s="20" t="n"/>
      <c r="G67" s="20" t="n"/>
      <c r="H67" s="20" t="n"/>
      <c r="I67" s="20" t="n"/>
      <c r="J67" s="20" t="n"/>
      <c r="K67" s="20" t="n"/>
      <c r="L67" s="20" t="n"/>
      <c r="M67" s="20" t="n"/>
      <c r="N67" s="20" t="n"/>
      <c r="O67" s="20" t="n"/>
    </row>
    <row r="68">
      <c r="A68" s="20" t="n"/>
      <c r="B68" s="20" t="n"/>
      <c r="C68" s="20" t="n"/>
      <c r="D68" s="20" t="n"/>
      <c r="E68" s="20" t="n"/>
      <c r="F68" s="20" t="n"/>
      <c r="G68" s="20" t="n"/>
      <c r="H68" s="20" t="n"/>
      <c r="I68" s="20" t="n"/>
      <c r="J68" s="20" t="n"/>
      <c r="K68" s="20" t="n"/>
      <c r="L68" s="20" t="n"/>
      <c r="M68" s="20" t="n"/>
      <c r="N68" s="20" t="n"/>
      <c r="O68" s="20" t="n"/>
    </row>
    <row r="69">
      <c r="A69" s="20" t="n"/>
      <c r="B69" s="20" t="n"/>
      <c r="C69" s="20" t="n"/>
      <c r="D69" s="20" t="n"/>
      <c r="E69" s="20" t="n"/>
      <c r="F69" s="20" t="n"/>
      <c r="G69" s="20" t="n"/>
      <c r="H69" s="20" t="n"/>
      <c r="I69" s="20" t="n"/>
      <c r="J69" s="20" t="n"/>
      <c r="K69" s="20" t="n"/>
      <c r="L69" s="20" t="n"/>
      <c r="M69" s="20" t="n"/>
      <c r="N69" s="20" t="n"/>
      <c r="O69" s="20" t="n"/>
    </row>
    <row r="70">
      <c r="A70" s="20" t="n"/>
      <c r="B70" s="20" t="n"/>
      <c r="C70" s="20" t="n"/>
      <c r="D70" s="20" t="n"/>
      <c r="E70" s="20" t="n"/>
      <c r="F70" s="20" t="n"/>
      <c r="G70" s="20" t="n"/>
      <c r="H70" s="20" t="n"/>
      <c r="I70" s="20" t="n"/>
      <c r="J70" s="20" t="n"/>
      <c r="K70" s="20" t="n"/>
      <c r="L70" s="20" t="n"/>
      <c r="M70" s="20" t="n"/>
      <c r="N70" s="20" t="n"/>
      <c r="O70" s="20" t="n"/>
    </row>
    <row r="71">
      <c r="A71" s="20" t="n"/>
      <c r="B71" s="20" t="n"/>
      <c r="C71" s="20" t="n"/>
      <c r="D71" s="20" t="n"/>
      <c r="E71" s="20" t="n"/>
      <c r="F71" s="20" t="n"/>
      <c r="G71" s="20" t="n"/>
      <c r="H71" s="20" t="n"/>
      <c r="I71" s="20" t="n"/>
      <c r="J71" s="20" t="n"/>
      <c r="K71" s="20" t="n"/>
      <c r="L71" s="20" t="n"/>
      <c r="M71" s="20" t="n"/>
      <c r="N71" s="20" t="n"/>
      <c r="O71" s="20" t="n"/>
    </row>
    <row r="72">
      <c r="A72" s="20" t="n"/>
      <c r="B72" s="20" t="n"/>
      <c r="C72" s="20" t="n"/>
      <c r="D72" s="20" t="n"/>
      <c r="E72" s="20" t="n"/>
      <c r="F72" s="20" t="n"/>
      <c r="G72" s="20" t="n"/>
      <c r="H72" s="20" t="n"/>
      <c r="I72" s="20" t="n"/>
      <c r="J72" s="20" t="n"/>
      <c r="K72" s="20" t="n"/>
      <c r="L72" s="20" t="n"/>
      <c r="M72" s="20" t="n"/>
      <c r="N72" s="20" t="n"/>
      <c r="O72" s="20" t="n"/>
    </row>
    <row r="73">
      <c r="A73" s="20" t="n"/>
      <c r="B73" s="20" t="n"/>
      <c r="C73" s="20" t="n"/>
      <c r="D73" s="20" t="n"/>
      <c r="E73" s="20" t="n"/>
      <c r="F73" s="20" t="n"/>
      <c r="G73" s="20" t="n"/>
      <c r="H73" s="20" t="n"/>
      <c r="I73" s="20" t="n"/>
      <c r="J73" s="20" t="n"/>
      <c r="K73" s="20" t="n"/>
      <c r="L73" s="20" t="n"/>
      <c r="M73" s="20" t="n"/>
      <c r="N73" s="20" t="n"/>
      <c r="O73" s="20" t="n"/>
    </row>
    <row r="74">
      <c r="A74" s="20" t="n"/>
      <c r="B74" s="20" t="n"/>
      <c r="C74" s="20" t="n"/>
      <c r="D74" s="20" t="n"/>
      <c r="E74" s="20" t="n"/>
      <c r="F74" s="20" t="n"/>
      <c r="G74" s="20" t="n"/>
      <c r="H74" s="20" t="n"/>
      <c r="I74" s="20" t="n"/>
      <c r="J74" s="20" t="n"/>
      <c r="K74" s="20" t="n"/>
      <c r="L74" s="20" t="n"/>
      <c r="M74" s="20" t="n"/>
      <c r="N74" s="20" t="n"/>
      <c r="O74" s="20" t="n"/>
    </row>
    <row r="75">
      <c r="A75" s="20" t="n"/>
      <c r="B75" s="20" t="n"/>
      <c r="C75" s="20" t="n"/>
      <c r="D75" s="20" t="n"/>
      <c r="E75" s="20" t="n"/>
      <c r="F75" s="20" t="n"/>
      <c r="G75" s="20" t="n"/>
      <c r="H75" s="20" t="n"/>
      <c r="I75" s="20" t="n"/>
      <c r="J75" s="20" t="n"/>
      <c r="K75" s="20" t="n"/>
      <c r="L75" s="20" t="n"/>
      <c r="M75" s="20" t="n"/>
      <c r="N75" s="20" t="n"/>
      <c r="O75" s="20" t="n"/>
    </row>
    <row r="76">
      <c r="A76" s="20" t="n"/>
      <c r="B76" s="20" t="n"/>
      <c r="C76" s="20" t="n"/>
      <c r="D76" s="20" t="n"/>
      <c r="E76" s="20" t="n"/>
      <c r="F76" s="20" t="n"/>
      <c r="G76" s="20" t="n"/>
      <c r="H76" s="20" t="n"/>
      <c r="I76" s="20" t="n"/>
      <c r="J76" s="20" t="n"/>
      <c r="K76" s="20" t="n"/>
      <c r="L76" s="20" t="n"/>
      <c r="M76" s="20" t="n"/>
      <c r="N76" s="20" t="n"/>
      <c r="O76" s="20" t="n"/>
    </row>
    <row r="77">
      <c r="A77" s="20" t="n"/>
      <c r="B77" s="20" t="n"/>
      <c r="C77" s="20" t="n"/>
      <c r="D77" s="20" t="n"/>
      <c r="E77" s="20" t="n"/>
      <c r="F77" s="20" t="n"/>
      <c r="G77" s="20" t="n"/>
      <c r="H77" s="20" t="n"/>
      <c r="I77" s="20" t="n"/>
      <c r="J77" s="20" t="n"/>
      <c r="K77" s="20" t="n"/>
      <c r="L77" s="20" t="n"/>
      <c r="M77" s="20" t="n"/>
      <c r="N77" s="20" t="n"/>
      <c r="O77" s="20" t="n"/>
    </row>
    <row r="78">
      <c r="A78" s="20" t="n"/>
      <c r="B78" s="20" t="n"/>
      <c r="C78" s="20" t="n"/>
      <c r="D78" s="20" t="n"/>
      <c r="E78" s="20" t="n"/>
      <c r="F78" s="20" t="n"/>
      <c r="G78" s="20" t="n"/>
      <c r="H78" s="20" t="n"/>
      <c r="I78" s="20" t="n"/>
      <c r="J78" s="20" t="n"/>
      <c r="K78" s="20" t="n"/>
      <c r="L78" s="20" t="n"/>
      <c r="M78" s="20" t="n"/>
      <c r="N78" s="20" t="n"/>
      <c r="O78" s="20" t="n"/>
    </row>
    <row r="79">
      <c r="A79" s="20" t="n"/>
      <c r="B79" s="20" t="n"/>
      <c r="C79" s="20" t="n"/>
      <c r="D79" s="20" t="n"/>
      <c r="E79" s="20" t="n"/>
      <c r="F79" s="20" t="n"/>
      <c r="G79" s="20" t="n"/>
      <c r="H79" s="20" t="n"/>
      <c r="I79" s="20" t="n"/>
      <c r="J79" s="20" t="n"/>
      <c r="K79" s="20" t="n"/>
      <c r="L79" s="20" t="n"/>
      <c r="M79" s="20" t="n"/>
      <c r="N79" s="20" t="n"/>
      <c r="O79" s="20" t="n"/>
    </row>
    <row r="80">
      <c r="A80" s="20" t="n"/>
      <c r="B80" s="20" t="n"/>
      <c r="C80" s="20" t="n"/>
      <c r="D80" s="20" t="n"/>
      <c r="E80" s="20" t="n"/>
      <c r="F80" s="20" t="n"/>
      <c r="G80" s="20" t="n"/>
      <c r="H80" s="20" t="n"/>
      <c r="I80" s="20" t="n"/>
      <c r="J80" s="20" t="n"/>
      <c r="K80" s="20" t="n"/>
      <c r="L80" s="20" t="n"/>
      <c r="M80" s="20" t="n"/>
      <c r="N80" s="20" t="n"/>
      <c r="O80" s="20" t="n"/>
    </row>
    <row r="81">
      <c r="A81" s="20" t="n"/>
      <c r="B81" s="20" t="n"/>
      <c r="C81" s="20" t="n"/>
      <c r="D81" s="20" t="n"/>
      <c r="E81" s="20" t="n"/>
      <c r="F81" s="20" t="n"/>
      <c r="G81" s="20" t="n"/>
      <c r="H81" s="20" t="n"/>
      <c r="I81" s="20" t="n"/>
      <c r="J81" s="20" t="n"/>
      <c r="K81" s="20" t="n"/>
      <c r="L81" s="20" t="n"/>
      <c r="M81" s="20" t="n"/>
      <c r="N81" s="20" t="n"/>
      <c r="O81" s="20" t="n"/>
    </row>
    <row r="82">
      <c r="A82" s="20" t="n"/>
      <c r="B82" s="20" t="n"/>
      <c r="C82" s="20" t="n"/>
      <c r="D82" s="20" t="n"/>
      <c r="E82" s="20" t="n"/>
      <c r="F82" s="20" t="n"/>
      <c r="G82" s="20" t="n"/>
      <c r="H82" s="20" t="n"/>
      <c r="I82" s="20" t="n"/>
      <c r="J82" s="20" t="n"/>
      <c r="K82" s="20" t="n"/>
      <c r="L82" s="20" t="n"/>
      <c r="M82" s="20" t="n"/>
      <c r="N82" s="20" t="n"/>
      <c r="O82" s="20" t="n"/>
    </row>
    <row r="83">
      <c r="A83" s="20" t="n"/>
      <c r="B83" s="20" t="n"/>
      <c r="C83" s="20" t="n"/>
      <c r="D83" s="20" t="n"/>
      <c r="E83" s="20" t="n"/>
      <c r="F83" s="20" t="n"/>
      <c r="G83" s="20" t="n"/>
      <c r="H83" s="20" t="n"/>
      <c r="I83" s="20" t="n"/>
      <c r="J83" s="20" t="n"/>
      <c r="K83" s="20" t="n"/>
      <c r="L83" s="20" t="n"/>
      <c r="M83" s="20" t="n"/>
      <c r="N83" s="20" t="n"/>
      <c r="O83" s="20" t="n"/>
    </row>
    <row r="84">
      <c r="A84" s="20" t="n"/>
      <c r="B84" s="20" t="n"/>
      <c r="C84" s="20" t="n"/>
      <c r="D84" s="20" t="n"/>
      <c r="E84" s="20" t="n"/>
      <c r="F84" s="20" t="n"/>
      <c r="G84" s="20" t="n"/>
      <c r="H84" s="20" t="n"/>
      <c r="I84" s="20" t="n"/>
      <c r="J84" s="20" t="n"/>
      <c r="K84" s="20" t="n"/>
      <c r="L84" s="20" t="n"/>
      <c r="M84" s="20" t="n"/>
      <c r="N84" s="20" t="n"/>
      <c r="O84" s="20" t="n"/>
    </row>
    <row r="85">
      <c r="A85" s="20" t="n"/>
      <c r="B85" s="20" t="n"/>
      <c r="C85" s="20" t="n"/>
      <c r="D85" s="20" t="n"/>
      <c r="E85" s="20" t="n"/>
      <c r="F85" s="20" t="n"/>
      <c r="G85" s="20" t="n"/>
      <c r="H85" s="20" t="n"/>
      <c r="I85" s="20" t="n"/>
      <c r="J85" s="20" t="n"/>
      <c r="K85" s="20" t="n"/>
      <c r="L85" s="20" t="n"/>
      <c r="M85" s="20" t="n"/>
      <c r="N85" s="20" t="n"/>
      <c r="O85" s="20" t="n"/>
    </row>
    <row r="86">
      <c r="A86" s="20" t="n"/>
      <c r="B86" s="20" t="n"/>
      <c r="C86" s="20" t="n"/>
      <c r="D86" s="20" t="n"/>
      <c r="E86" s="20" t="n"/>
      <c r="F86" s="20" t="n"/>
      <c r="G86" s="20" t="n"/>
      <c r="H86" s="20" t="n"/>
      <c r="I86" s="20" t="n"/>
      <c r="J86" s="20" t="n"/>
      <c r="K86" s="20" t="n"/>
      <c r="L86" s="20" t="n"/>
      <c r="M86" s="20" t="n"/>
      <c r="N86" s="20" t="n"/>
      <c r="O86" s="20" t="n"/>
    </row>
    <row r="87">
      <c r="A87" s="20" t="n"/>
      <c r="B87" s="20" t="n"/>
      <c r="C87" s="20" t="n"/>
      <c r="D87" s="20" t="n"/>
      <c r="E87" s="20" t="n"/>
      <c r="F87" s="20" t="n"/>
      <c r="G87" s="20" t="n"/>
      <c r="H87" s="20" t="n"/>
      <c r="I87" s="20" t="n"/>
      <c r="J87" s="20" t="n"/>
      <c r="K87" s="20" t="n"/>
      <c r="L87" s="20" t="n"/>
      <c r="M87" s="20" t="n"/>
      <c r="N87" s="20" t="n"/>
      <c r="O87" s="20" t="n"/>
    </row>
    <row r="88">
      <c r="A88" s="20" t="n"/>
      <c r="B88" s="20" t="n"/>
      <c r="C88" s="20" t="n"/>
      <c r="D88" s="20" t="n"/>
      <c r="E88" s="20" t="n"/>
      <c r="F88" s="20" t="n"/>
      <c r="G88" s="20" t="n"/>
      <c r="H88" s="20" t="n"/>
      <c r="I88" s="20" t="n"/>
      <c r="J88" s="20" t="n"/>
      <c r="K88" s="20" t="n"/>
      <c r="L88" s="20" t="n"/>
      <c r="M88" s="20" t="n"/>
      <c r="N88" s="20" t="n"/>
      <c r="O88" s="20" t="n"/>
    </row>
    <row r="89">
      <c r="A89" s="20" t="n"/>
      <c r="B89" s="20" t="n"/>
      <c r="C89" s="20" t="n"/>
      <c r="D89" s="20" t="n"/>
      <c r="E89" s="20" t="n"/>
      <c r="F89" s="20" t="n"/>
      <c r="G89" s="20" t="n"/>
      <c r="H89" s="20" t="n"/>
      <c r="I89" s="20" t="n"/>
      <c r="J89" s="20" t="n"/>
      <c r="K89" s="20" t="n"/>
      <c r="L89" s="20" t="n"/>
      <c r="M89" s="20" t="n"/>
      <c r="N89" s="20" t="n"/>
      <c r="O89" s="20" t="n"/>
    </row>
    <row r="90">
      <c r="A90" s="20" t="n"/>
      <c r="B90" s="20" t="n"/>
      <c r="C90" s="20" t="n"/>
      <c r="D90" s="20" t="n"/>
      <c r="E90" s="20" t="n"/>
      <c r="F90" s="20" t="n"/>
      <c r="G90" s="20" t="n"/>
      <c r="H90" s="20" t="n"/>
      <c r="I90" s="20" t="n"/>
      <c r="J90" s="20" t="n"/>
      <c r="K90" s="20" t="n"/>
      <c r="L90" s="20" t="n"/>
      <c r="M90" s="20" t="n"/>
      <c r="N90" s="20" t="n"/>
      <c r="O90" s="20" t="n"/>
    </row>
    <row r="91">
      <c r="A91" s="20" t="n"/>
      <c r="B91" s="20" t="n"/>
      <c r="C91" s="20" t="n"/>
      <c r="D91" s="20" t="n"/>
      <c r="E91" s="20" t="n"/>
      <c r="F91" s="20" t="n"/>
      <c r="G91" s="20" t="n"/>
      <c r="H91" s="20" t="n"/>
      <c r="I91" s="20" t="n"/>
      <c r="J91" s="20" t="n"/>
      <c r="K91" s="20" t="n"/>
      <c r="L91" s="20" t="n"/>
      <c r="M91" s="20" t="n"/>
      <c r="N91" s="20" t="n"/>
      <c r="O91" s="20" t="n"/>
    </row>
    <row r="92">
      <c r="A92" s="20" t="n"/>
      <c r="B92" s="20" t="n"/>
      <c r="C92" s="20" t="n"/>
      <c r="D92" s="20" t="n"/>
      <c r="E92" s="20" t="n"/>
      <c r="F92" s="20" t="n"/>
      <c r="G92" s="20" t="n"/>
      <c r="H92" s="20" t="n"/>
      <c r="I92" s="20" t="n"/>
      <c r="J92" s="20" t="n"/>
      <c r="K92" s="20" t="n"/>
      <c r="L92" s="20" t="n"/>
      <c r="M92" s="20" t="n"/>
      <c r="N92" s="20" t="n"/>
      <c r="O92" s="20" t="n"/>
    </row>
    <row r="93">
      <c r="A93" s="20" t="n"/>
      <c r="B93" s="20" t="n"/>
      <c r="C93" s="20" t="n"/>
      <c r="D93" s="20" t="n"/>
      <c r="E93" s="20" t="n"/>
      <c r="F93" s="20" t="n"/>
      <c r="G93" s="20" t="n"/>
      <c r="H93" s="20" t="n"/>
      <c r="I93" s="20" t="n"/>
      <c r="J93" s="20" t="n"/>
      <c r="K93" s="20" t="n"/>
      <c r="L93" s="20" t="n"/>
      <c r="M93" s="20" t="n"/>
      <c r="N93" s="20" t="n"/>
      <c r="O93" s="20" t="n"/>
    </row>
    <row r="94">
      <c r="A94" s="20" t="n"/>
      <c r="B94" s="20" t="n"/>
      <c r="C94" s="20" t="n"/>
      <c r="D94" s="20" t="n"/>
      <c r="E94" s="20" t="n"/>
      <c r="F94" s="20" t="n"/>
      <c r="G94" s="20" t="n"/>
      <c r="H94" s="20" t="n"/>
      <c r="I94" s="20" t="n"/>
      <c r="J94" s="20" t="n"/>
      <c r="K94" s="20" t="n"/>
      <c r="L94" s="20" t="n"/>
      <c r="M94" s="20" t="n"/>
      <c r="N94" s="20" t="n"/>
      <c r="O94" s="20" t="n"/>
    </row>
    <row r="95">
      <c r="A95" s="20" t="n"/>
      <c r="B95" s="20" t="n"/>
      <c r="C95" s="20" t="n"/>
      <c r="D95" s="20" t="n"/>
      <c r="E95" s="20" t="n"/>
      <c r="F95" s="20" t="n"/>
      <c r="G95" s="20" t="n"/>
      <c r="H95" s="20" t="n"/>
      <c r="I95" s="20" t="n"/>
      <c r="J95" s="20" t="n"/>
      <c r="K95" s="20" t="n"/>
      <c r="L95" s="20" t="n"/>
      <c r="M95" s="20" t="n"/>
      <c r="N95" s="20" t="n"/>
      <c r="O95" s="20" t="n"/>
    </row>
    <row r="96">
      <c r="A96" s="20" t="n"/>
      <c r="B96" s="20" t="n"/>
      <c r="C96" s="20" t="n"/>
      <c r="D96" s="20" t="n"/>
      <c r="E96" s="20" t="n"/>
      <c r="F96" s="20" t="n"/>
      <c r="G96" s="20" t="n"/>
      <c r="H96" s="20" t="n"/>
      <c r="I96" s="20" t="n"/>
      <c r="J96" s="20" t="n"/>
      <c r="K96" s="20" t="n"/>
      <c r="L96" s="20" t="n"/>
      <c r="M96" s="20" t="n"/>
      <c r="N96" s="20" t="n"/>
      <c r="O96" s="20" t="n"/>
    </row>
    <row r="97">
      <c r="A97" s="20" t="n"/>
      <c r="B97" s="20" t="n"/>
      <c r="C97" s="20" t="n"/>
      <c r="D97" s="20" t="n"/>
      <c r="E97" s="20" t="n"/>
      <c r="F97" s="20" t="n"/>
      <c r="G97" s="20" t="n"/>
      <c r="H97" s="20" t="n"/>
      <c r="I97" s="20" t="n"/>
      <c r="J97" s="20" t="n"/>
      <c r="K97" s="20" t="n"/>
      <c r="L97" s="20" t="n"/>
      <c r="M97" s="20" t="n"/>
      <c r="N97" s="20" t="n"/>
      <c r="O97" s="20" t="n"/>
    </row>
    <row r="98">
      <c r="A98" s="20" t="n"/>
      <c r="B98" s="20" t="n"/>
      <c r="C98" s="20" t="n"/>
      <c r="D98" s="20" t="n"/>
      <c r="E98" s="20" t="n"/>
      <c r="F98" s="20" t="n"/>
      <c r="G98" s="20" t="n"/>
      <c r="H98" s="20" t="n"/>
      <c r="I98" s="20" t="n"/>
      <c r="J98" s="20" t="n"/>
      <c r="K98" s="20" t="n"/>
      <c r="L98" s="20" t="n"/>
      <c r="M98" s="20" t="n"/>
      <c r="N98" s="20" t="n"/>
      <c r="O98" s="20" t="n"/>
    </row>
    <row r="99">
      <c r="A99" s="20" t="n"/>
      <c r="B99" s="20" t="n"/>
      <c r="C99" s="20" t="n"/>
      <c r="D99" s="20" t="n"/>
      <c r="E99" s="20" t="n"/>
      <c r="F99" s="20" t="n"/>
      <c r="G99" s="20" t="n"/>
      <c r="H99" s="20" t="n"/>
      <c r="I99" s="20" t="n"/>
      <c r="J99" s="20" t="n"/>
      <c r="K99" s="20" t="n"/>
      <c r="L99" s="20" t="n"/>
      <c r="M99" s="20" t="n"/>
      <c r="N99" s="20" t="n"/>
      <c r="O99" s="20" t="n"/>
    </row>
    <row r="100">
      <c r="A100" s="20" t="n"/>
      <c r="B100" s="20" t="n"/>
      <c r="C100" s="20" t="n"/>
      <c r="D100" s="20" t="n"/>
      <c r="E100" s="20" t="n"/>
      <c r="F100" s="20" t="n"/>
      <c r="G100" s="20" t="n"/>
      <c r="H100" s="20" t="n"/>
      <c r="I100" s="20" t="n"/>
      <c r="J100" s="20" t="n"/>
      <c r="K100" s="20" t="n"/>
      <c r="L100" s="20" t="n"/>
      <c r="M100" s="20" t="n"/>
      <c r="N100" s="20" t="n"/>
      <c r="O100" s="20" t="n"/>
    </row>
    <row r="101">
      <c r="A101" s="20" t="n"/>
      <c r="B101" s="20" t="n"/>
      <c r="C101" s="20" t="n"/>
      <c r="D101" s="20" t="n"/>
      <c r="E101" s="20" t="n"/>
      <c r="F101" s="20" t="n"/>
      <c r="G101" s="20" t="n"/>
      <c r="H101" s="20" t="n"/>
      <c r="I101" s="20" t="n"/>
      <c r="J101" s="20" t="n"/>
      <c r="K101" s="20" t="n"/>
      <c r="L101" s="20" t="n"/>
      <c r="M101" s="20" t="n"/>
      <c r="N101" s="20" t="n"/>
      <c r="O101" s="20" t="n"/>
    </row>
    <row r="102">
      <c r="A102" s="20" t="n"/>
      <c r="B102" s="20" t="n"/>
      <c r="C102" s="20" t="n"/>
      <c r="D102" s="20" t="n"/>
      <c r="E102" s="20" t="n"/>
      <c r="F102" s="20" t="n"/>
      <c r="G102" s="20" t="n"/>
      <c r="H102" s="20" t="n"/>
      <c r="I102" s="20" t="n"/>
      <c r="J102" s="20" t="n"/>
      <c r="K102" s="20" t="n"/>
      <c r="L102" s="20" t="n"/>
      <c r="M102" s="20" t="n"/>
      <c r="N102" s="20" t="n"/>
      <c r="O102" s="20" t="n"/>
    </row>
    <row r="103">
      <c r="A103" s="20" t="n"/>
      <c r="B103" s="20" t="n"/>
      <c r="C103" s="20" t="n"/>
      <c r="D103" s="20" t="n"/>
      <c r="E103" s="20" t="n"/>
      <c r="F103" s="20" t="n"/>
      <c r="G103" s="20" t="n"/>
      <c r="H103" s="20" t="n"/>
      <c r="I103" s="20" t="n"/>
      <c r="J103" s="20" t="n"/>
      <c r="K103" s="20" t="n"/>
      <c r="L103" s="20" t="n"/>
      <c r="M103" s="20" t="n"/>
      <c r="N103" s="20" t="n"/>
      <c r="O103" s="20" t="n"/>
    </row>
    <row r="104">
      <c r="A104" s="20" t="n"/>
      <c r="B104" s="20" t="n"/>
      <c r="C104" s="20" t="n"/>
      <c r="D104" s="20" t="n"/>
      <c r="E104" s="20" t="n"/>
      <c r="F104" s="20" t="n"/>
      <c r="G104" s="20" t="n"/>
      <c r="H104" s="20" t="n"/>
      <c r="I104" s="20" t="n"/>
      <c r="J104" s="20" t="n"/>
      <c r="K104" s="20" t="n"/>
      <c r="L104" s="20" t="n"/>
      <c r="M104" s="20" t="n"/>
      <c r="N104" s="20" t="n"/>
      <c r="O104" s="20" t="n"/>
    </row>
    <row r="105">
      <c r="A105" s="20" t="n"/>
      <c r="B105" s="20" t="n"/>
      <c r="C105" s="20" t="n"/>
      <c r="D105" s="20" t="n"/>
      <c r="E105" s="20" t="n"/>
      <c r="F105" s="20" t="n"/>
      <c r="G105" s="20" t="n"/>
      <c r="H105" s="20" t="n"/>
      <c r="I105" s="20" t="n"/>
      <c r="J105" s="20" t="n"/>
      <c r="K105" s="20" t="n"/>
      <c r="L105" s="20" t="n"/>
      <c r="M105" s="20" t="n"/>
      <c r="N105" s="20" t="n"/>
      <c r="O105" s="20" t="n"/>
    </row>
    <row r="106">
      <c r="A106" s="20" t="n"/>
      <c r="B106" s="20" t="n"/>
      <c r="C106" s="20" t="n"/>
      <c r="D106" s="20" t="n"/>
      <c r="E106" s="20" t="n"/>
      <c r="F106" s="20" t="n"/>
      <c r="G106" s="20" t="n"/>
      <c r="H106" s="20" t="n"/>
      <c r="I106" s="20" t="n"/>
      <c r="J106" s="20" t="n"/>
      <c r="K106" s="20" t="n"/>
      <c r="L106" s="20" t="n"/>
      <c r="M106" s="20" t="n"/>
      <c r="N106" s="20" t="n"/>
      <c r="O106" s="20" t="n"/>
    </row>
    <row r="107">
      <c r="A107" s="20" t="n"/>
      <c r="B107" s="20" t="n"/>
      <c r="C107" s="20" t="n"/>
      <c r="D107" s="20" t="n"/>
      <c r="E107" s="20" t="n"/>
      <c r="F107" s="20" t="n"/>
      <c r="G107" s="20" t="n"/>
      <c r="H107" s="20" t="n"/>
      <c r="I107" s="20" t="n"/>
      <c r="J107" s="20" t="n"/>
      <c r="K107" s="20" t="n"/>
      <c r="L107" s="20" t="n"/>
      <c r="M107" s="20" t="n"/>
      <c r="N107" s="20" t="n"/>
      <c r="O107" s="20" t="n"/>
    </row>
    <row r="108">
      <c r="A108" s="20" t="n"/>
      <c r="B108" s="20" t="n"/>
      <c r="C108" s="20" t="n"/>
      <c r="D108" s="20" t="n"/>
      <c r="E108" s="20" t="n"/>
      <c r="F108" s="20" t="n"/>
      <c r="G108" s="20" t="n"/>
      <c r="H108" s="20" t="n"/>
      <c r="I108" s="20" t="n"/>
      <c r="J108" s="20" t="n"/>
      <c r="K108" s="20" t="n"/>
      <c r="L108" s="20" t="n"/>
      <c r="M108" s="20" t="n"/>
      <c r="N108" s="20" t="n"/>
      <c r="O108" s="20" t="n"/>
    </row>
    <row r="109">
      <c r="A109" s="20" t="n"/>
      <c r="B109" s="20" t="n"/>
      <c r="C109" s="20" t="n"/>
      <c r="D109" s="20" t="n"/>
      <c r="E109" s="20" t="n"/>
      <c r="F109" s="20" t="n"/>
      <c r="G109" s="20" t="n"/>
      <c r="H109" s="20" t="n"/>
      <c r="I109" s="20" t="n"/>
      <c r="J109" s="20" t="n"/>
      <c r="K109" s="20" t="n"/>
      <c r="L109" s="20" t="n"/>
      <c r="M109" s="20" t="n"/>
      <c r="N109" s="20" t="n"/>
      <c r="O109" s="20" t="n"/>
    </row>
    <row r="110">
      <c r="A110" s="20" t="n"/>
      <c r="B110" s="20" t="n"/>
      <c r="C110" s="20" t="n"/>
      <c r="D110" s="20" t="n"/>
      <c r="E110" s="20" t="n"/>
      <c r="F110" s="20" t="n"/>
      <c r="G110" s="20" t="n"/>
      <c r="H110" s="20" t="n"/>
      <c r="I110" s="20" t="n"/>
      <c r="J110" s="20" t="n"/>
      <c r="K110" s="20" t="n"/>
      <c r="L110" s="20" t="n"/>
      <c r="M110" s="20" t="n"/>
      <c r="N110" s="20" t="n"/>
      <c r="O110" s="20" t="n"/>
    </row>
    <row r="111">
      <c r="A111" s="20" t="n"/>
      <c r="B111" s="20" t="n"/>
      <c r="C111" s="20" t="n"/>
      <c r="D111" s="20" t="n"/>
      <c r="E111" s="20" t="n"/>
      <c r="F111" s="20" t="n"/>
      <c r="G111" s="20" t="n"/>
      <c r="H111" s="20" t="n"/>
      <c r="I111" s="20" t="n"/>
      <c r="J111" s="20" t="n"/>
      <c r="K111" s="20" t="n"/>
      <c r="L111" s="20" t="n"/>
      <c r="M111" s="20" t="n"/>
      <c r="N111" s="20" t="n"/>
      <c r="O111" s="20" t="n"/>
    </row>
    <row r="112">
      <c r="A112" s="20" t="n"/>
      <c r="B112" s="20" t="n"/>
      <c r="C112" s="20" t="n"/>
      <c r="D112" s="20" t="n"/>
      <c r="E112" s="20" t="n"/>
      <c r="F112" s="20" t="n"/>
      <c r="G112" s="20" t="n"/>
      <c r="H112" s="20" t="n"/>
      <c r="I112" s="20" t="n"/>
      <c r="J112" s="20" t="n"/>
      <c r="K112" s="20" t="n"/>
      <c r="L112" s="20" t="n"/>
      <c r="M112" s="20" t="n"/>
      <c r="N112" s="20" t="n"/>
      <c r="O112" s="20" t="n"/>
    </row>
    <row r="113">
      <c r="A113" s="20" t="n"/>
      <c r="B113" s="20" t="n"/>
      <c r="C113" s="20" t="n"/>
      <c r="D113" s="20" t="n"/>
      <c r="E113" s="20" t="n"/>
      <c r="F113" s="20" t="n"/>
      <c r="G113" s="20" t="n"/>
      <c r="H113" s="20" t="n"/>
      <c r="I113" s="20" t="n"/>
      <c r="J113" s="20" t="n"/>
      <c r="K113" s="20" t="n"/>
      <c r="L113" s="20" t="n"/>
      <c r="M113" s="20" t="n"/>
      <c r="N113" s="20" t="n"/>
      <c r="O113" s="20" t="n"/>
    </row>
    <row r="114">
      <c r="A114" s="20" t="n"/>
      <c r="B114" s="20" t="n"/>
      <c r="C114" s="20" t="n"/>
      <c r="D114" s="20" t="n"/>
      <c r="E114" s="20" t="n"/>
      <c r="F114" s="20" t="n"/>
      <c r="G114" s="20" t="n"/>
      <c r="H114" s="20" t="n"/>
      <c r="I114" s="20" t="n"/>
      <c r="J114" s="20" t="n"/>
      <c r="K114" s="20" t="n"/>
      <c r="L114" s="20" t="n"/>
      <c r="M114" s="20" t="n"/>
      <c r="N114" s="20" t="n"/>
      <c r="O114" s="20" t="n"/>
    </row>
    <row r="115">
      <c r="A115" s="20" t="n"/>
      <c r="B115" s="20" t="n"/>
      <c r="C115" s="20" t="n"/>
      <c r="D115" s="20" t="n"/>
      <c r="E115" s="20" t="n"/>
      <c r="F115" s="20" t="n"/>
      <c r="G115" s="20" t="n"/>
      <c r="H115" s="20" t="n"/>
      <c r="I115" s="20" t="n"/>
      <c r="J115" s="20" t="n"/>
      <c r="K115" s="20" t="n"/>
      <c r="L115" s="20" t="n"/>
      <c r="M115" s="20" t="n"/>
      <c r="N115" s="20" t="n"/>
      <c r="O115" s="20" t="n"/>
    </row>
    <row r="116">
      <c r="A116" s="20" t="n"/>
      <c r="B116" s="20" t="n"/>
      <c r="C116" s="20" t="n"/>
      <c r="D116" s="20" t="n"/>
      <c r="E116" s="20" t="n"/>
      <c r="F116" s="20" t="n"/>
      <c r="G116" s="20" t="n"/>
      <c r="H116" s="20" t="n"/>
      <c r="I116" s="20" t="n"/>
      <c r="J116" s="20" t="n"/>
      <c r="K116" s="20" t="n"/>
      <c r="L116" s="20" t="n"/>
      <c r="M116" s="20" t="n"/>
      <c r="N116" s="20" t="n"/>
      <c r="O116" s="20" t="n"/>
    </row>
    <row r="117">
      <c r="A117" s="20" t="n"/>
      <c r="B117" s="20" t="n"/>
      <c r="C117" s="20" t="n"/>
      <c r="D117" s="20" t="n"/>
      <c r="E117" s="20" t="n"/>
      <c r="F117" s="20" t="n"/>
      <c r="G117" s="20" t="n"/>
      <c r="H117" s="20" t="n"/>
      <c r="I117" s="20" t="n"/>
      <c r="J117" s="20" t="n"/>
      <c r="K117" s="20" t="n"/>
      <c r="L117" s="20" t="n"/>
      <c r="M117" s="20" t="n"/>
      <c r="N117" s="20" t="n"/>
      <c r="O117" s="20" t="n"/>
    </row>
    <row r="118">
      <c r="A118" s="20" t="n"/>
      <c r="B118" s="20" t="n"/>
      <c r="C118" s="20" t="n"/>
      <c r="D118" s="20" t="n"/>
      <c r="E118" s="20" t="n"/>
      <c r="F118" s="20" t="n"/>
      <c r="G118" s="20" t="n"/>
      <c r="H118" s="20" t="n"/>
      <c r="I118" s="20" t="n"/>
      <c r="J118" s="20" t="n"/>
      <c r="K118" s="20" t="n"/>
      <c r="L118" s="20" t="n"/>
      <c r="M118" s="20" t="n"/>
      <c r="N118" s="20" t="n"/>
      <c r="O118" s="20" t="n"/>
    </row>
    <row r="119">
      <c r="A119" s="20" t="n"/>
      <c r="B119" s="20" t="n"/>
      <c r="C119" s="20" t="n"/>
      <c r="D119" s="20" t="n"/>
      <c r="E119" s="20" t="n"/>
      <c r="F119" s="20" t="n"/>
      <c r="G119" s="20" t="n"/>
      <c r="H119" s="20" t="n"/>
      <c r="I119" s="20" t="n"/>
      <c r="J119" s="20" t="n"/>
      <c r="K119" s="20" t="n"/>
      <c r="L119" s="20" t="n"/>
      <c r="M119" s="20" t="n"/>
      <c r="N119" s="20" t="n"/>
      <c r="O119" s="20" t="n"/>
    </row>
    <row r="120">
      <c r="A120" s="20" t="n"/>
      <c r="B120" s="20" t="n"/>
      <c r="C120" s="20" t="n"/>
      <c r="D120" s="20" t="n"/>
      <c r="E120" s="20" t="n"/>
      <c r="F120" s="20" t="n"/>
      <c r="G120" s="20" t="n"/>
      <c r="H120" s="20" t="n"/>
      <c r="I120" s="20" t="n"/>
      <c r="J120" s="20" t="n"/>
      <c r="K120" s="20" t="n"/>
      <c r="L120" s="20" t="n"/>
      <c r="M120" s="20" t="n"/>
      <c r="N120" s="20" t="n"/>
      <c r="O120" s="2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4.5"/>
  <cols>
    <col width="12" customWidth="1" style="36" min="1" max="1"/>
    <col width="9" customWidth="1" style="36" min="2" max="2"/>
    <col width="12" customWidth="1" style="36" min="3" max="3"/>
    <col width="9" customWidth="1" style="36" min="4" max="4"/>
    <col width="60" customWidth="1" style="36" min="5" max="5"/>
    <col width="14" customWidth="1" style="36" min="6" max="6"/>
  </cols>
  <sheetData>
    <row r="1">
      <c r="A1" s="8" t="inlineStr">
        <is>
          <t>Date</t>
        </is>
      </c>
      <c r="B1" s="8" t="inlineStr">
        <is>
          <t>Level</t>
        </is>
      </c>
      <c r="C1" s="8" t="inlineStr">
        <is>
          <t>Role</t>
        </is>
      </c>
      <c r="D1" s="8" t="inlineStr">
        <is>
          <t>Touches</t>
        </is>
      </c>
      <c r="E1" s="8" t="inlineStr">
        <is>
          <t>What happened</t>
        </is>
      </c>
      <c r="F1" s="8" t="inlineStr">
        <is>
          <t>Result</t>
        </is>
      </c>
    </row>
    <row r="2" ht="25" customHeight="1" s="36">
      <c r="A2" s="24" t="inlineStr">
        <is>
          <t>2026-09-09</t>
        </is>
      </c>
      <c r="B2" s="24" t="n">
        <v>23565</v>
      </c>
      <c r="C2" s="24" t="inlineStr">
        <is>
          <t>Resistance</t>
        </is>
      </c>
      <c r="D2" s="24" t="n">
        <v>13</v>
      </c>
      <c r="E2" s="25" t="inlineStr">
        <is>
          <t>Day HIGH 23571.55 tagged this level and rejected hard; NIFTY sold off all day and closed at the low.</t>
        </is>
      </c>
      <c r="F2" s="24" t="inlineStr">
        <is>
          <t>WORKED (magic)</t>
        </is>
      </c>
    </row>
    <row r="3" ht="25" customHeight="1" s="36">
      <c r="A3" s="23" t="inlineStr">
        <is>
          <t>2026-09-09</t>
        </is>
      </c>
      <c r="B3" s="23" t="n">
        <v>23464</v>
      </c>
      <c r="C3" s="23" t="inlineStr">
        <is>
          <t>Support</t>
        </is>
      </c>
      <c r="D3" s="23" t="n">
        <v>12</v>
      </c>
      <c r="E3" s="26" t="inlineStr">
        <is>
          <t>Bounced the 10:00 low (23466) — held early, but broke by close (23431).</t>
        </is>
      </c>
      <c r="F3" s="23" t="inlineStr">
        <is>
          <t>Partly worked</t>
        </is>
      </c>
    </row>
    <row r="4" ht="25" customHeight="1" s="36">
      <c r="A4" s="24" t="inlineStr">
        <is>
          <t>2026-09-10</t>
        </is>
      </c>
      <c r="B4" s="24" t="n">
        <v>23461</v>
      </c>
      <c r="C4" s="24" t="inlineStr">
        <is>
          <t>Resistance</t>
        </is>
      </c>
      <c r="D4" s="24" t="n">
        <v>62</v>
      </c>
      <c r="E4" s="25" t="inlineStr">
        <is>
          <t>Capped the upside all day - 15 tests, 5 clean rejects, 0 breaks. Day high 23494.95 stalled just past 23486/23500 and rejected.</t>
        </is>
      </c>
      <c r="F4" s="24" t="inlineStr">
        <is>
          <t>WORKED (magic)</t>
        </is>
      </c>
    </row>
    <row r="5" ht="25" customHeight="1" s="36">
      <c r="A5" s="24" t="inlineStr">
        <is>
          <t>2026-09-10</t>
        </is>
      </c>
      <c r="B5" s="24" t="n">
        <v>23435</v>
      </c>
      <c r="C5" s="24" t="inlineStr">
        <is>
          <t>Support (pivot)</t>
        </is>
      </c>
      <c r="D5" s="24" t="n">
        <v>85</v>
      </c>
      <c r="E5" s="25" t="inlineStr">
        <is>
          <t>The day's magnet - 52 tests, 15 rejects, 0 breaks; price hugged it and held on a closing basis (the 23403 wick recovered).</t>
        </is>
      </c>
      <c r="F5" s="24" t="inlineStr">
        <is>
          <t>WORKED (magic)</t>
        </is>
      </c>
    </row>
    <row r="6">
      <c r="A6" s="24" t="inlineStr">
        <is>
          <t>2026-09-10</t>
        </is>
      </c>
      <c r="B6" s="24" t="n">
        <v>23412</v>
      </c>
      <c r="C6" s="24" t="inlineStr">
        <is>
          <t>Support</t>
        </is>
      </c>
      <c r="D6" s="24" t="n">
        <v>76</v>
      </c>
      <c r="E6" s="25" t="inlineStr">
        <is>
          <t>Caught the afternoon dip - 35 tests, 10 rejects, 0 breaks.</t>
        </is>
      </c>
      <c r="F6" s="24" t="inlineStr">
        <is>
          <t>WORKED (magic)</t>
        </is>
      </c>
    </row>
    <row r="7">
      <c r="A7" s="24" t="inlineStr">
        <is>
          <t>2026-09-10</t>
        </is>
      </c>
      <c r="B7" s="24" t="n">
        <v>23374</v>
      </c>
      <c r="C7" s="24" t="inlineStr">
        <is>
          <t>Support</t>
        </is>
      </c>
      <c r="D7" s="24" t="n">
        <v>88</v>
      </c>
      <c r="E7" s="25" t="inlineStr">
        <is>
          <t>The 23380 day low reversed right at this level (2 touches near the low).</t>
        </is>
      </c>
      <c r="F7" s="24" t="inlineStr">
        <is>
          <t>WORKED (magic)</t>
        </is>
      </c>
    </row>
    <row r="8">
      <c r="A8" s="39" t="inlineStr">
        <is>
          <t>2026-09-11</t>
        </is>
      </c>
      <c r="B8" s="40" t="n">
        <v>23263</v>
      </c>
      <c r="C8" s="39" t="inlineStr">
        <is>
          <t>Support</t>
        </is>
      </c>
      <c r="D8" s="39" t="n">
        <v>84</v>
      </c>
      <c r="E8" s="39" t="inlineStr">
        <is>
          <t>Gap-down opened right on it; held as support (11 tests, 3 rejects, no break). The day's floor.</t>
        </is>
      </c>
      <c r="F8" s="39" t="inlineStr">
        <is>
          <t>WORKED (magic)</t>
        </is>
      </c>
    </row>
    <row r="9">
      <c r="A9" s="30" t="inlineStr">
        <is>
          <t>2026-09-11</t>
        </is>
      </c>
      <c r="B9" s="31" t="n">
        <v>23352</v>
      </c>
      <c r="C9" s="30" t="inlineStr">
        <is>
          <t>Pivot/Res</t>
        </is>
      </c>
      <c r="D9" s="30" t="n">
        <v>99</v>
      </c>
      <c r="E9" s="30" t="inlineStr">
        <is>
          <t>The day's battleground - 27 tests, 14 rejects. Break-up here fired the LONG flip (+Rs1,345).</t>
        </is>
      </c>
      <c r="F9" s="30" t="inlineStr">
        <is>
          <t>WORKED (magic, traded)</t>
        </is>
      </c>
    </row>
    <row r="10">
      <c r="A10" t="inlineStr">
        <is>
          <t>2026-09-11</t>
        </is>
      </c>
      <c r="B10" t="n">
        <v>23412</v>
      </c>
      <c r="C10" t="inlineStr">
        <is>
          <t>Support</t>
        </is>
      </c>
      <c r="D10" t="n">
        <v>76</v>
      </c>
      <c r="E10" t="inlineStr">
        <is>
          <t>Held then broke (6 rejects, 2 breaks); acted as the SHORT's retest/target zone.</t>
        </is>
      </c>
      <c r="F10" t="inlineStr">
        <is>
          <t>WORKED</t>
        </is>
      </c>
    </row>
    <row r="11">
      <c r="A11" s="30" t="inlineStr">
        <is>
          <t>2026-09-11</t>
        </is>
      </c>
      <c r="B11" s="31" t="n">
        <v>23435</v>
      </c>
      <c r="C11" s="30" t="inlineStr">
        <is>
          <t>Resistance</t>
        </is>
      </c>
      <c r="D11" s="30" t="n">
        <v>85</v>
      </c>
      <c r="E11" s="30" t="inlineStr">
        <is>
          <t>Capped the rally (4 rejects). Break-down + retest fired the SHORT flip (+Rs1,120).</t>
        </is>
      </c>
      <c r="F11" s="30" t="inlineStr">
        <is>
          <t>WORKED (magic, traded)</t>
        </is>
      </c>
    </row>
    <row r="12">
      <c r="A12" t="inlineStr">
        <is>
          <t>2026-09-15</t>
        </is>
      </c>
      <c r="B12" t="n">
        <v>23319</v>
      </c>
      <c r="C12" t="inlineStr">
        <is>
          <t>Support</t>
        </is>
      </c>
      <c r="D12" t="n">
        <v>97</v>
      </c>
      <c r="E12" t="inlineStr">
        <is>
          <t>Most-tested level of the day (21 tests, 8 rejects) - the afternoon base, but the trend eventually broke it too.</t>
        </is>
      </c>
      <c r="F12" t="inlineStr">
        <is>
          <t>Reacted, did not hold</t>
        </is>
      </c>
    </row>
    <row r="13">
      <c r="A13" t="inlineStr">
        <is>
          <t>2026-09-15</t>
        </is>
      </c>
      <c r="B13" t="n">
        <v>23374</v>
      </c>
      <c r="C13" t="inlineStr">
        <is>
          <t>Support</t>
        </is>
      </c>
      <c r="D13" t="n">
        <v>88</v>
      </c>
      <c r="E13" t="inlineStr">
        <is>
          <t>3 rejects on the way down, slowed the fall but broke.</t>
        </is>
      </c>
      <c r="F13" t="inlineStr">
        <is>
          <t>Reacted, did not hold</t>
        </is>
      </c>
    </row>
    <row r="14">
      <c r="A14" t="inlineStr">
        <is>
          <t>2026-09-15</t>
        </is>
      </c>
      <c r="B14" t="n">
        <v>23294</v>
      </c>
      <c r="C14" t="inlineStr">
        <is>
          <t>Support</t>
        </is>
      </c>
      <c r="D14" t="n">
        <v>86</v>
      </c>
      <c r="E14" t="inlineStr">
        <is>
          <t>4 rejects near the lows; bounce attempts failed as the trend continued.</t>
        </is>
      </c>
      <c r="F14" t="inlineStr">
        <is>
          <t>Reacted, did not hold</t>
        </is>
      </c>
    </row>
    <row r="15">
      <c r="A15" t="inlineStr">
        <is>
          <t>2026-09-15</t>
        </is>
      </c>
      <c r="B15" t="n">
        <v>23263</v>
      </c>
      <c r="C15" t="inlineStr">
        <is>
          <t>Support</t>
        </is>
      </c>
      <c r="D15" t="n">
        <v>84</v>
      </c>
      <c r="E15" t="inlineStr">
        <is>
          <t>2 rejects; held briefly then gave way into the 23118 close.</t>
        </is>
      </c>
      <c r="F15" t="inlineStr">
        <is>
          <t>Reacted, did not hold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
  <sheetViews>
    <sheetView workbookViewId="0">
      <pane ySplit="1" topLeftCell="A6" activePane="bottomLeft" state="frozen"/>
      <selection pane="bottomLeft" activeCell="A1" sqref="A1"/>
    </sheetView>
  </sheetViews>
  <sheetFormatPr baseColWidth="8" defaultRowHeight="14.5"/>
  <cols>
    <col width="12" customWidth="1" style="36" min="1" max="1"/>
    <col width="13" customWidth="1" style="36" min="2" max="2"/>
    <col width="8" customWidth="1" style="36" min="3" max="3"/>
    <col width="9" customWidth="1" style="36" min="4" max="4"/>
    <col width="12" customWidth="1" style="36" min="5" max="5"/>
    <col width="8" customWidth="1" style="36" min="6" max="6"/>
    <col width="9" customWidth="1" style="36" min="7" max="7"/>
    <col width="22" customWidth="1" style="36" min="8" max="8"/>
  </cols>
  <sheetData>
    <row r="1">
      <c r="A1" s="8" t="inlineStr">
        <is>
          <t>For date</t>
        </is>
      </c>
      <c r="B1" s="8" t="inlineStr">
        <is>
          <t>Based on close</t>
        </is>
      </c>
      <c r="C1" s="8" t="inlineStr">
        <is>
          <t>VIX</t>
        </is>
      </c>
      <c r="D1" s="8" t="inlineStr">
        <is>
          <t>Level</t>
        </is>
      </c>
      <c r="E1" s="8" t="inlineStr">
        <is>
          <t>Role</t>
        </is>
      </c>
      <c r="F1" s="8" t="inlineStr">
        <is>
          <t>Dist</t>
        </is>
      </c>
      <c r="G1" s="8" t="inlineStr">
        <is>
          <t>Touches</t>
        </is>
      </c>
      <c r="H1" s="8" t="inlineStr">
        <is>
          <t>Note</t>
        </is>
      </c>
    </row>
    <row r="2">
      <c r="A2" s="23" t="inlineStr">
        <is>
          <t>2026-09-10</t>
        </is>
      </c>
      <c r="B2" s="23" t="n">
        <v>23431.5</v>
      </c>
      <c r="C2" s="23" t="n">
        <v>11.98</v>
      </c>
      <c r="D2" s="23" t="n">
        <v>23434</v>
      </c>
      <c r="E2" s="23" t="inlineStr">
        <is>
          <t>Resistance</t>
        </is>
      </c>
      <c r="F2" s="23" t="inlineStr">
        <is>
          <t>+2</t>
        </is>
      </c>
      <c r="G2" s="23" t="n">
        <v>26</v>
      </c>
      <c r="H2" s="26" t="inlineStr">
        <is>
          <t>nearest R</t>
        </is>
      </c>
    </row>
    <row r="3">
      <c r="A3" s="21" t="inlineStr">
        <is>
          <t>2026-09-10</t>
        </is>
      </c>
      <c r="B3" s="21" t="n">
        <v>23431.5</v>
      </c>
      <c r="C3" s="21" t="n">
        <v>11.98</v>
      </c>
      <c r="D3" s="21" t="n">
        <v>23462</v>
      </c>
      <c r="E3" s="21" t="inlineStr">
        <is>
          <t>Resistance</t>
        </is>
      </c>
      <c r="F3" s="21" t="inlineStr">
        <is>
          <t>+30</t>
        </is>
      </c>
      <c r="G3" s="21" t="n">
        <v>27</v>
      </c>
      <c r="H3" s="22" t="n"/>
    </row>
    <row r="4">
      <c r="A4" s="21" t="inlineStr">
        <is>
          <t>2026-09-10</t>
        </is>
      </c>
      <c r="B4" s="21" t="n">
        <v>23431.5</v>
      </c>
      <c r="C4" s="21" t="n">
        <v>11.98</v>
      </c>
      <c r="D4" s="21" t="n">
        <v>23486</v>
      </c>
      <c r="E4" s="21" t="inlineStr">
        <is>
          <t>Resistance</t>
        </is>
      </c>
      <c r="F4" s="21" t="inlineStr">
        <is>
          <t>+54</t>
        </is>
      </c>
      <c r="G4" s="21" t="n">
        <v>26</v>
      </c>
      <c r="H4" s="22" t="n"/>
    </row>
    <row r="5">
      <c r="A5" s="21" t="inlineStr">
        <is>
          <t>2026-09-10</t>
        </is>
      </c>
      <c r="B5" s="21" t="n">
        <v>23431.5</v>
      </c>
      <c r="C5" s="21" t="n">
        <v>11.98</v>
      </c>
      <c r="D5" s="21" t="n">
        <v>23519</v>
      </c>
      <c r="E5" s="21" t="inlineStr">
        <is>
          <t>Resistance</t>
        </is>
      </c>
      <c r="F5" s="21" t="inlineStr">
        <is>
          <t>+87</t>
        </is>
      </c>
      <c r="G5" s="21" t="n">
        <v>26</v>
      </c>
      <c r="H5" s="22" t="n"/>
    </row>
    <row r="6">
      <c r="A6" s="21" t="inlineStr">
        <is>
          <t>2026-09-10</t>
        </is>
      </c>
      <c r="B6" s="21" t="n">
        <v>23431.5</v>
      </c>
      <c r="C6" s="21" t="n">
        <v>11.98</v>
      </c>
      <c r="D6" s="21" t="n">
        <v>23549</v>
      </c>
      <c r="E6" s="21" t="inlineStr">
        <is>
          <t>Resistance</t>
        </is>
      </c>
      <c r="F6" s="21" t="inlineStr">
        <is>
          <t>+117</t>
        </is>
      </c>
      <c r="G6" s="21" t="n">
        <v>24</v>
      </c>
      <c r="H6" s="22" t="n"/>
    </row>
    <row r="7">
      <c r="A7" s="21" t="inlineStr">
        <is>
          <t>2026-09-10</t>
        </is>
      </c>
      <c r="B7" s="21" t="n">
        <v>23431.5</v>
      </c>
      <c r="C7" s="21" t="n">
        <v>11.98</v>
      </c>
      <c r="D7" s="21" t="n">
        <v>23572</v>
      </c>
      <c r="E7" s="21" t="inlineStr">
        <is>
          <t>Resistance</t>
        </is>
      </c>
      <c r="F7" s="21" t="inlineStr">
        <is>
          <t>+140</t>
        </is>
      </c>
      <c r="G7" s="21" t="n">
        <v>20</v>
      </c>
      <c r="H7" s="22" t="n"/>
    </row>
    <row r="8">
      <c r="A8" s="21" t="inlineStr">
        <is>
          <t>2026-09-10</t>
        </is>
      </c>
      <c r="B8" s="21" t="n">
        <v>23431.5</v>
      </c>
      <c r="C8" s="21" t="n">
        <v>11.98</v>
      </c>
      <c r="D8" s="21" t="n">
        <v>23597</v>
      </c>
      <c r="E8" s="21" t="inlineStr">
        <is>
          <t>Resistance</t>
        </is>
      </c>
      <c r="F8" s="21" t="inlineStr">
        <is>
          <t>+165</t>
        </is>
      </c>
      <c r="G8" s="21" t="n">
        <v>22</v>
      </c>
      <c r="H8" s="22" t="n"/>
    </row>
    <row r="9">
      <c r="A9" s="21" t="inlineStr">
        <is>
          <t>2026-09-10</t>
        </is>
      </c>
      <c r="B9" s="21" t="n">
        <v>23431.5</v>
      </c>
      <c r="C9" s="21" t="n">
        <v>11.98</v>
      </c>
      <c r="D9" s="21" t="n">
        <v>23623</v>
      </c>
      <c r="E9" s="21" t="inlineStr">
        <is>
          <t>Resistance</t>
        </is>
      </c>
      <c r="F9" s="21" t="inlineStr">
        <is>
          <t>+191</t>
        </is>
      </c>
      <c r="G9" s="21" t="n">
        <v>30</v>
      </c>
      <c r="H9" s="22" t="n"/>
    </row>
    <row r="10">
      <c r="A10" s="21" t="inlineStr">
        <is>
          <t>2026-09-10</t>
        </is>
      </c>
      <c r="B10" s="21" t="n">
        <v>23431.5</v>
      </c>
      <c r="C10" s="21" t="n">
        <v>11.98</v>
      </c>
      <c r="D10" s="21" t="n">
        <v>23659</v>
      </c>
      <c r="E10" s="21" t="inlineStr">
        <is>
          <t>Resistance</t>
        </is>
      </c>
      <c r="F10" s="21" t="inlineStr">
        <is>
          <t>+227</t>
        </is>
      </c>
      <c r="G10" s="21" t="n">
        <v>33</v>
      </c>
      <c r="H10" s="22" t="n"/>
    </row>
    <row r="11">
      <c r="A11" s="21" t="inlineStr">
        <is>
          <t>2026-09-10</t>
        </is>
      </c>
      <c r="B11" s="21" t="n">
        <v>23431.5</v>
      </c>
      <c r="C11" s="21" t="n">
        <v>11.98</v>
      </c>
      <c r="D11" s="21" t="n">
        <v>23683</v>
      </c>
      <c r="E11" s="21" t="inlineStr">
        <is>
          <t>Resistance</t>
        </is>
      </c>
      <c r="F11" s="21" t="inlineStr">
        <is>
          <t>+251</t>
        </is>
      </c>
      <c r="G11" s="21" t="n">
        <v>25</v>
      </c>
      <c r="H11" s="22" t="n"/>
    </row>
    <row r="12">
      <c r="A12" s="21" t="inlineStr">
        <is>
          <t>2026-09-10</t>
        </is>
      </c>
      <c r="B12" s="21" t="n">
        <v>23431.5</v>
      </c>
      <c r="C12" s="21" t="n">
        <v>11.98</v>
      </c>
      <c r="D12" s="21" t="n">
        <v>23720</v>
      </c>
      <c r="E12" s="21" t="inlineStr">
        <is>
          <t>Resistance</t>
        </is>
      </c>
      <c r="F12" s="21" t="inlineStr">
        <is>
          <t>+288</t>
        </is>
      </c>
      <c r="G12" s="21" t="n">
        <v>21</v>
      </c>
      <c r="H12" s="22" t="n"/>
    </row>
    <row r="13">
      <c r="A13" s="21" t="inlineStr">
        <is>
          <t>2026-09-10</t>
        </is>
      </c>
      <c r="B13" s="21" t="n">
        <v>23431.5</v>
      </c>
      <c r="C13" s="21" t="n">
        <v>11.98</v>
      </c>
      <c r="D13" s="21" t="n">
        <v>23748</v>
      </c>
      <c r="E13" s="21" t="inlineStr">
        <is>
          <t>Resistance</t>
        </is>
      </c>
      <c r="F13" s="21" t="inlineStr">
        <is>
          <t>+316</t>
        </is>
      </c>
      <c r="G13" s="21" t="n">
        <v>37</v>
      </c>
      <c r="H13" s="22" t="n"/>
    </row>
    <row r="14">
      <c r="A14" s="21" t="inlineStr">
        <is>
          <t>2026-09-10</t>
        </is>
      </c>
      <c r="B14" s="21" t="n">
        <v>23431.5</v>
      </c>
      <c r="C14" s="21" t="n">
        <v>11.98</v>
      </c>
      <c r="D14" s="21" t="n">
        <v>23769</v>
      </c>
      <c r="E14" s="21" t="inlineStr">
        <is>
          <t>Resistance</t>
        </is>
      </c>
      <c r="F14" s="21" t="inlineStr">
        <is>
          <t>+337</t>
        </is>
      </c>
      <c r="G14" s="21" t="n">
        <v>36</v>
      </c>
      <c r="H14" s="22" t="n"/>
    </row>
    <row r="15">
      <c r="A15" s="23" t="inlineStr">
        <is>
          <t>2026-09-10</t>
        </is>
      </c>
      <c r="B15" s="23" t="n">
        <v>23431.5</v>
      </c>
      <c r="C15" s="23" t="n">
        <v>11.98</v>
      </c>
      <c r="D15" s="23" t="n">
        <v>23376</v>
      </c>
      <c r="E15" s="23" t="inlineStr">
        <is>
          <t>Support</t>
        </is>
      </c>
      <c r="F15" s="23" t="inlineStr">
        <is>
          <t>-55</t>
        </is>
      </c>
      <c r="G15" s="23" t="n">
        <v>29</v>
      </c>
      <c r="H15" s="26" t="inlineStr">
        <is>
          <t>nearest S</t>
        </is>
      </c>
    </row>
    <row r="16">
      <c r="A16" s="21" t="inlineStr">
        <is>
          <t>2026-09-10</t>
        </is>
      </c>
      <c r="B16" s="21" t="n">
        <v>23431.5</v>
      </c>
      <c r="C16" s="21" t="n">
        <v>11.98</v>
      </c>
      <c r="D16" s="21" t="n">
        <v>23344</v>
      </c>
      <c r="E16" s="21" t="inlineStr">
        <is>
          <t>Support</t>
        </is>
      </c>
      <c r="F16" s="21" t="inlineStr">
        <is>
          <t>-87</t>
        </is>
      </c>
      <c r="G16" s="21" t="n">
        <v>23</v>
      </c>
      <c r="H16" s="22" t="n"/>
    </row>
    <row r="17">
      <c r="A17" s="21" t="inlineStr">
        <is>
          <t>2026-09-10</t>
        </is>
      </c>
      <c r="B17" s="21" t="n">
        <v>23431.5</v>
      </c>
      <c r="C17" s="21" t="n">
        <v>11.98</v>
      </c>
      <c r="D17" s="21" t="n">
        <v>23323</v>
      </c>
      <c r="E17" s="21" t="inlineStr">
        <is>
          <t>Support</t>
        </is>
      </c>
      <c r="F17" s="21" t="inlineStr">
        <is>
          <t>-108</t>
        </is>
      </c>
      <c r="G17" s="21" t="n">
        <v>26</v>
      </c>
      <c r="H17" s="22" t="n"/>
    </row>
    <row r="18">
      <c r="A18" s="21" t="inlineStr">
        <is>
          <t>2026-09-10</t>
        </is>
      </c>
      <c r="B18" s="21" t="n">
        <v>23431.5</v>
      </c>
      <c r="C18" s="21" t="n">
        <v>11.98</v>
      </c>
      <c r="D18" s="21" t="n">
        <v>23266</v>
      </c>
      <c r="E18" s="21" t="inlineStr">
        <is>
          <t>Support</t>
        </is>
      </c>
      <c r="F18" s="21" t="inlineStr">
        <is>
          <t>-165</t>
        </is>
      </c>
      <c r="G18" s="21" t="n">
        <v>30</v>
      </c>
      <c r="H18" s="22" t="n"/>
    </row>
    <row r="19">
      <c r="A19" s="21" t="inlineStr">
        <is>
          <t>2026-09-10</t>
        </is>
      </c>
      <c r="B19" s="21" t="n">
        <v>23431.5</v>
      </c>
      <c r="C19" s="21" t="n">
        <v>11.98</v>
      </c>
      <c r="D19" s="21" t="n">
        <v>23213</v>
      </c>
      <c r="E19" s="21" t="inlineStr">
        <is>
          <t>Support</t>
        </is>
      </c>
      <c r="F19" s="21" t="inlineStr">
        <is>
          <t>-218</t>
        </is>
      </c>
      <c r="G19" s="21" t="n">
        <v>35</v>
      </c>
      <c r="H19" s="22" t="n"/>
    </row>
    <row r="20">
      <c r="A20" s="21" t="inlineStr">
        <is>
          <t>2026-09-10</t>
        </is>
      </c>
      <c r="B20" s="21" t="n">
        <v>23431.5</v>
      </c>
      <c r="C20" s="21" t="n">
        <v>11.98</v>
      </c>
      <c r="D20" s="21" t="n">
        <v>23189</v>
      </c>
      <c r="E20" s="21" t="inlineStr">
        <is>
          <t>Support</t>
        </is>
      </c>
      <c r="F20" s="21" t="inlineStr">
        <is>
          <t>-242</t>
        </is>
      </c>
      <c r="G20" s="21" t="n">
        <v>29</v>
      </c>
      <c r="H20" s="22" t="n"/>
    </row>
    <row r="21">
      <c r="A21" s="21" t="inlineStr">
        <is>
          <t>2026-09-10</t>
        </is>
      </c>
      <c r="B21" s="21" t="n">
        <v>23431.5</v>
      </c>
      <c r="C21" s="21" t="n">
        <v>11.98</v>
      </c>
      <c r="D21" s="21" t="n">
        <v>23152</v>
      </c>
      <c r="E21" s="21" t="inlineStr">
        <is>
          <t>Support</t>
        </is>
      </c>
      <c r="F21" s="21" t="inlineStr">
        <is>
          <t>-279</t>
        </is>
      </c>
      <c r="G21" s="21" t="n">
        <v>14</v>
      </c>
      <c r="H21" s="22" t="n"/>
    </row>
    <row r="22">
      <c r="A22" s="21" t="inlineStr">
        <is>
          <t>2026-09-10</t>
        </is>
      </c>
      <c r="B22" s="21" t="n">
        <v>23431.5</v>
      </c>
      <c r="C22" s="21" t="n">
        <v>11.98</v>
      </c>
      <c r="D22" s="21" t="n">
        <v>23125</v>
      </c>
      <c r="E22" s="21" t="inlineStr">
        <is>
          <t>Support</t>
        </is>
      </c>
      <c r="F22" s="21" t="inlineStr">
        <is>
          <t>-306</t>
        </is>
      </c>
      <c r="G22" s="21" t="n">
        <v>13</v>
      </c>
      <c r="H22" s="22" t="n"/>
    </row>
    <row r="23">
      <c r="A23" s="21" t="inlineStr">
        <is>
          <t>2026-09-10</t>
        </is>
      </c>
      <c r="B23" s="21" t="n">
        <v>23431.5</v>
      </c>
      <c r="C23" s="21" t="n">
        <v>11.98</v>
      </c>
      <c r="D23" s="21" t="n">
        <v>23090</v>
      </c>
      <c r="E23" s="21" t="inlineStr">
        <is>
          <t>Support</t>
        </is>
      </c>
      <c r="F23" s="21" t="inlineStr">
        <is>
          <t>-341</t>
        </is>
      </c>
      <c r="G23" s="21" t="n">
        <v>12</v>
      </c>
      <c r="H23" s="2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20"/>
  <sheetViews>
    <sheetView topLeftCell="G1" workbookViewId="0">
      <pane ySplit="1" topLeftCell="A2" activePane="bottomLeft" state="frozen"/>
      <selection pane="bottomLeft" activeCell="A1" sqref="A1"/>
    </sheetView>
  </sheetViews>
  <sheetFormatPr baseColWidth="8" defaultRowHeight="14.5"/>
  <cols>
    <col width="12" customWidth="1" style="36" min="1" max="1"/>
    <col width="26" customWidth="1" style="36" min="2" max="2"/>
    <col width="7" customWidth="1" style="36" min="3" max="3"/>
    <col width="9" customWidth="1" style="36" min="4" max="7"/>
    <col width="7" customWidth="1" style="36" min="8" max="9"/>
    <col width="8" customWidth="1" style="36" min="10" max="10"/>
    <col width="9" customWidth="1" style="36" min="11" max="11"/>
    <col width="11" customWidth="1" style="36" min="12" max="12"/>
    <col width="9" customWidth="1" style="36" min="13" max="13"/>
    <col width="26" customWidth="1" style="36" min="14" max="14"/>
    <col width="34" customWidth="1" style="36" min="15" max="15"/>
    <col width="22" customWidth="1" style="36" min="17" max="17"/>
    <col width="12" customWidth="1" style="36" min="18" max="18"/>
  </cols>
  <sheetData>
    <row r="1">
      <c r="A1" s="8" t="inlineStr">
        <is>
          <t>Date</t>
        </is>
      </c>
      <c r="B1" s="8" t="inlineStr">
        <is>
          <t>Contract</t>
        </is>
      </c>
      <c r="C1" s="8" t="inlineStr">
        <is>
          <t>Side</t>
        </is>
      </c>
      <c r="D1" s="8" t="inlineStr">
        <is>
          <t>Entry</t>
        </is>
      </c>
      <c r="E1" s="8" t="inlineStr">
        <is>
          <t>Stop</t>
        </is>
      </c>
      <c r="F1" s="8" t="inlineStr">
        <is>
          <t>Target 1</t>
        </is>
      </c>
      <c r="G1" s="8" t="inlineStr">
        <is>
          <t>Target 2</t>
        </is>
      </c>
      <c r="H1" s="8" t="inlineStr">
        <is>
          <t>R:R</t>
        </is>
      </c>
      <c r="I1" s="8" t="inlineStr">
        <is>
          <t>Lots</t>
        </is>
      </c>
      <c r="J1" s="8" t="inlineStr">
        <is>
          <t>Qty</t>
        </is>
      </c>
      <c r="K1" s="8" t="inlineStr">
        <is>
          <t>Exit</t>
        </is>
      </c>
      <c r="L1" s="8" t="inlineStr">
        <is>
          <t>P&amp;L</t>
        </is>
      </c>
      <c r="M1" s="8" t="inlineStr">
        <is>
          <t>Result</t>
        </is>
      </c>
      <c r="N1" s="8" t="inlineStr">
        <is>
          <t>Rule Violations</t>
        </is>
      </c>
      <c r="O1" s="8" t="inlineStr">
        <is>
          <t>Notes</t>
        </is>
      </c>
    </row>
    <row r="2">
      <c r="A2" s="9" t="inlineStr">
        <is>
          <t>2026-09-03</t>
        </is>
      </c>
      <c r="B2" s="10" t="inlineStr">
        <is>
          <t>NIFTY 2026-09-03 25200 CE</t>
        </is>
      </c>
      <c r="C2" s="9" t="inlineStr">
        <is>
          <t>CE</t>
        </is>
      </c>
      <c r="D2" s="9" t="n">
        <v>201.4</v>
      </c>
      <c r="E2" s="9" t="n">
        <v>161.1</v>
      </c>
      <c r="F2" s="9" t="n">
        <v>231.4</v>
      </c>
      <c r="G2" s="9" t="n">
        <v>261.4</v>
      </c>
      <c r="H2" s="13" t="n">
        <v>0.74</v>
      </c>
      <c r="I2" s="9" t="n">
        <v>1</v>
      </c>
      <c r="J2" s="9" t="n">
        <v>75</v>
      </c>
      <c r="K2" s="9" t="n">
        <v>231.4</v>
      </c>
      <c r="L2" s="14" t="n">
        <v>2250</v>
      </c>
      <c r="M2" s="9" t="inlineStr">
        <is>
          <t>WIN</t>
        </is>
      </c>
      <c r="N2" s="10" t="n"/>
      <c r="O2" s="10" t="inlineStr">
        <is>
          <t>Confirmed setup, closed at T1.</t>
        </is>
      </c>
    </row>
    <row r="3">
      <c r="A3" s="11" t="inlineStr">
        <is>
          <t>2026-09-11</t>
        </is>
      </c>
      <c r="B3" s="11" t="inlineStr">
        <is>
          <t>NIFTY 2026-09-15 23300 CE</t>
        </is>
      </c>
      <c r="C3" s="11" t="inlineStr">
        <is>
          <t>CE</t>
        </is>
      </c>
      <c r="D3" s="11" t="n">
        <v>172.25</v>
      </c>
      <c r="E3" s="11" t="n">
        <v>155</v>
      </c>
      <c r="F3" s="11" t="n">
        <v>205</v>
      </c>
      <c r="G3" s="11" t="n">
        <v>225</v>
      </c>
      <c r="H3" s="15">
        <f>IFERROR((F3-D3)/(D3-E3),"")</f>
        <v/>
      </c>
      <c r="I3" s="11" t="n">
        <v>1</v>
      </c>
      <c r="J3" s="11" t="n">
        <v>65</v>
      </c>
      <c r="K3" s="11" t="n">
        <v>192.95</v>
      </c>
      <c r="L3" s="16">
        <f>IF(OR(K3="",D3="",J3=""),"",(K3-D3)*J3)</f>
        <v/>
      </c>
      <c r="M3" s="12">
        <f>IF(D3="","",IF(K3="","OPEN",IF((K3-D3)&gt;0,"WIN","LOSS")))</f>
        <v/>
      </c>
      <c r="N3" s="11" t="inlineStr">
        <is>
          <t>Late entry: took spot 23385, plan entry was 23352 (retest missed).</t>
        </is>
      </c>
      <c r="O3" s="11" t="inlineStr">
        <is>
          <t>LONG flip. In 14:00 @172.25 (spot 23385). Out 14:09 @192.95 (14:09 close; minute range 190.35-199.10) = +Rs1,345.50/lot. Disciplined half@target(23425)+trail would have banked ~Rs1,900-2,100 (option peak 228). Signal correct; entry ~30 spot pts late.</t>
        </is>
      </c>
    </row>
    <row r="4">
      <c r="A4" s="11" t="inlineStr">
        <is>
          <t>2026-09-11</t>
        </is>
      </c>
      <c r="B4" s="11" t="inlineStr">
        <is>
          <t>NIFTY 2026-09-15 23450 PE</t>
        </is>
      </c>
      <c r="C4" s="11" t="inlineStr">
        <is>
          <t>PE</t>
        </is>
      </c>
      <c r="D4" s="11" t="n">
        <v>102.8</v>
      </c>
      <c r="E4" s="11" t="n">
        <v>87</v>
      </c>
      <c r="F4" s="11" t="n">
        <v>122</v>
      </c>
      <c r="G4" s="11" t="n">
        <v>134</v>
      </c>
      <c r="H4" s="15">
        <f>IFERROR((F4-D4)/(D4-E4),"")</f>
        <v/>
      </c>
      <c r="I4" s="11" t="n">
        <v>1</v>
      </c>
      <c r="J4" s="11" t="n">
        <v>65</v>
      </c>
      <c r="K4" s="11" t="n">
        <v>120.03</v>
      </c>
      <c r="L4" s="16">
        <f>IF(OR(K4="",D4="",J4=""),"",(K4-D4)*J4)</f>
        <v/>
      </c>
      <c r="M4" s="12">
        <f>IF(D4="","",IF(K4="","OPEN",IF((K4-D4)&gt;0,"WIN","LOSS")))</f>
        <v/>
      </c>
      <c r="N4" s="11" t="n"/>
      <c r="O4" s="11" t="inlineStr">
        <is>
          <t>SHORT flip. In 14:30 @102.80 (spot ~23427). Target 23395 hit 15:05 -&gt; banked half @121.15 (+18.35). Closed runner @118.90 15:07 (+16.10) on user call. Blended exit 120.03 = +Rs1,120/lot. Clean textbook flip: entered at the retest, not chased.</t>
        </is>
      </c>
    </row>
    <row r="5">
      <c r="A5" s="11" t="inlineStr">
        <is>
          <t>2026-09-15</t>
        </is>
      </c>
      <c r="B5" s="11" t="inlineStr">
        <is>
          <t>NIFTY 2026-09-15 23700 PE</t>
        </is>
      </c>
      <c r="C5" s="11" t="inlineStr">
        <is>
          <t>PE</t>
        </is>
      </c>
      <c r="D5" s="11" t="n">
        <v>235</v>
      </c>
      <c r="E5" s="11" t="n">
        <v>180</v>
      </c>
      <c r="F5" s="11" t="n">
        <v>275</v>
      </c>
      <c r="G5" s="11" t="n">
        <v>320</v>
      </c>
      <c r="H5" s="15">
        <f>IFERROR((F5-D5)/(D5-E5),"")</f>
        <v/>
      </c>
      <c r="I5" s="11" t="n">
        <v>1</v>
      </c>
      <c r="J5" s="11" t="n">
        <v>65</v>
      </c>
      <c r="K5" s="11" t="n">
        <v>365</v>
      </c>
      <c r="L5" s="16">
        <f>IF(OR(K5="",D5="",J5=""),"",(K5-D5)*J5)</f>
        <v/>
      </c>
      <c r="M5" s="12">
        <f>IF(D5="","",IF(K5="","OPEN",IF((K5-D5)&gt;0,"WIN","LOSS")))</f>
        <v/>
      </c>
      <c r="N5" s="11" t="n"/>
      <c r="O5" s="11" t="inlineStr">
        <is>
          <t>SHORT flip (trend day). Captured on app 09:25 at the 23500 retest, deep-ITM PE (~0.95 delta). HELD the trend (not bank-half) to 12:30, exit 365 = +130 pts = +Rs8,450/lot. Rode the one-way sell 23470-&gt;23330.</t>
        </is>
      </c>
    </row>
    <row r="6">
      <c r="A6" s="11" t="n"/>
      <c r="B6" s="11" t="n"/>
      <c r="C6" s="11" t="n"/>
      <c r="D6" s="11" t="n"/>
      <c r="E6" s="11" t="n"/>
      <c r="F6" s="11" t="n"/>
      <c r="G6" s="11" t="n"/>
      <c r="H6" s="15">
        <f>IFERROR((F6-D6)/(D6-E6),"")</f>
        <v/>
      </c>
      <c r="I6" s="11" t="n"/>
      <c r="J6" s="11" t="n"/>
      <c r="K6" s="11" t="n"/>
      <c r="L6" s="16">
        <f>IF(OR(K6="",D6="",J6=""),"",(K6-D6)*J6)</f>
        <v/>
      </c>
      <c r="M6" s="12">
        <f>IF(D6="","",IF(K6="","OPEN",IF((K6-D6)&gt;0,"WIN","LOSS")))</f>
        <v/>
      </c>
      <c r="N6" s="11" t="n"/>
      <c r="O6" s="11" t="n"/>
    </row>
    <row r="7">
      <c r="A7" s="11" t="n"/>
      <c r="B7" s="11" t="n"/>
      <c r="C7" s="11" t="n"/>
      <c r="D7" s="11" t="n"/>
      <c r="E7" s="11" t="n"/>
      <c r="F7" s="11" t="n"/>
      <c r="G7" s="11" t="n"/>
      <c r="H7" s="15">
        <f>IFERROR((F7-D7)/(D7-E7),"")</f>
        <v/>
      </c>
      <c r="I7" s="11" t="n"/>
      <c r="J7" s="11" t="n"/>
      <c r="K7" s="11" t="n"/>
      <c r="L7" s="16">
        <f>IF(OR(K7="",D7="",J7=""),"",(K7-D7)*J7)</f>
        <v/>
      </c>
      <c r="M7" s="12">
        <f>IF(D7="","",IF(K7="","OPEN",IF((K7-D7)&gt;0,"WIN","LOSS")))</f>
        <v/>
      </c>
      <c r="N7" s="11" t="n"/>
      <c r="O7" s="11" t="n"/>
    </row>
    <row r="8">
      <c r="A8" s="11" t="n"/>
      <c r="B8" s="11" t="n"/>
      <c r="C8" s="11" t="n"/>
      <c r="D8" s="11" t="n"/>
      <c r="E8" s="11" t="n"/>
      <c r="F8" s="11" t="n"/>
      <c r="G8" s="11" t="n"/>
      <c r="H8" s="15">
        <f>IFERROR((F8-D8)/(D8-E8),"")</f>
        <v/>
      </c>
      <c r="I8" s="11" t="n"/>
      <c r="J8" s="11" t="n"/>
      <c r="K8" s="11" t="n"/>
      <c r="L8" s="16">
        <f>IF(OR(K8="",D8="",J8=""),"",(K8-D8)*J8)</f>
        <v/>
      </c>
      <c r="M8" s="12">
        <f>IF(D8="","",IF(K8="","OPEN",IF((K8-D8)&gt;0,"WIN","LOSS")))</f>
        <v/>
      </c>
      <c r="N8" s="11" t="n"/>
      <c r="O8" s="11" t="n"/>
    </row>
    <row r="9">
      <c r="A9" s="11" t="n"/>
      <c r="B9" s="11" t="n"/>
      <c r="C9" s="11" t="n"/>
      <c r="D9" s="11" t="n"/>
      <c r="E9" s="11" t="n"/>
      <c r="F9" s="11" t="n"/>
      <c r="G9" s="11" t="n"/>
      <c r="H9" s="15">
        <f>IFERROR((F9-D9)/(D9-E9),"")</f>
        <v/>
      </c>
      <c r="I9" s="11" t="n"/>
      <c r="J9" s="11" t="n"/>
      <c r="K9" s="11" t="n"/>
      <c r="L9" s="16">
        <f>IF(OR(K9="",D9="",J9=""),"",(K9-D9)*J9)</f>
        <v/>
      </c>
      <c r="M9" s="12">
        <f>IF(D9="","",IF(K9="","OPEN",IF((K9-D9)&gt;0,"WIN","LOSS")))</f>
        <v/>
      </c>
      <c r="N9" s="11" t="n"/>
      <c r="O9" s="11" t="n"/>
    </row>
    <row r="10">
      <c r="A10" s="11" t="n"/>
      <c r="B10" s="11" t="n"/>
      <c r="C10" s="11" t="n"/>
      <c r="D10" s="11" t="n"/>
      <c r="E10" s="11" t="n"/>
      <c r="F10" s="11" t="n"/>
      <c r="G10" s="11" t="n"/>
      <c r="H10" s="15">
        <f>IFERROR((F10-D10)/(D10-E10),"")</f>
        <v/>
      </c>
      <c r="I10" s="11" t="n"/>
      <c r="J10" s="11" t="n"/>
      <c r="K10" s="11" t="n"/>
      <c r="L10" s="16">
        <f>IF(OR(K10="",D10="",J10=""),"",(K10-D10)*J10)</f>
        <v/>
      </c>
      <c r="M10" s="12">
        <f>IF(D10="","",IF(K10="","OPEN",IF((K10-D10)&gt;0,"WIN","LOSS")))</f>
        <v/>
      </c>
      <c r="N10" s="11" t="n"/>
      <c r="O10" s="11" t="n"/>
    </row>
    <row r="11">
      <c r="A11" s="11" t="n"/>
      <c r="B11" s="11" t="n"/>
      <c r="C11" s="11" t="n"/>
      <c r="D11" s="11" t="n"/>
      <c r="E11" s="11" t="n"/>
      <c r="F11" s="11" t="n"/>
      <c r="G11" s="11" t="n"/>
      <c r="H11" s="15">
        <f>IFERROR((F11-D11)/(D11-E11),"")</f>
        <v/>
      </c>
      <c r="I11" s="11" t="n"/>
      <c r="J11" s="11" t="n"/>
      <c r="K11" s="11" t="n"/>
      <c r="L11" s="16">
        <f>IF(OR(K11="",D11="",J11=""),"",(K11-D11)*J11)</f>
        <v/>
      </c>
      <c r="M11" s="12">
        <f>IF(D11="","",IF(K11="","OPEN",IF((K11-D11)&gt;0,"WIN","LOSS")))</f>
        <v/>
      </c>
      <c r="N11" s="11" t="n"/>
      <c r="O11" s="11" t="n"/>
    </row>
    <row r="12">
      <c r="A12" s="11" t="n"/>
      <c r="B12" s="11" t="n"/>
      <c r="C12" s="11" t="n"/>
      <c r="D12" s="11" t="n"/>
      <c r="E12" s="11" t="n"/>
      <c r="F12" s="11" t="n"/>
      <c r="G12" s="11" t="n"/>
      <c r="H12" s="15">
        <f>IFERROR((F12-D12)/(D12-E12),"")</f>
        <v/>
      </c>
      <c r="I12" s="11" t="n"/>
      <c r="J12" s="11" t="n"/>
      <c r="K12" s="11" t="n"/>
      <c r="L12" s="16">
        <f>IF(OR(K12="",D12="",J12=""),"",(K12-D12)*J12)</f>
        <v/>
      </c>
      <c r="M12" s="12">
        <f>IF(D12="","",IF(K12="","OPEN",IF((K12-D12)&gt;0,"WIN","LOSS")))</f>
        <v/>
      </c>
      <c r="N12" s="11" t="n"/>
      <c r="O12" s="11" t="n"/>
    </row>
    <row r="13">
      <c r="A13" s="11" t="n"/>
      <c r="B13" s="11" t="n"/>
      <c r="C13" s="11" t="n"/>
      <c r="D13" s="11" t="n"/>
      <c r="E13" s="11" t="n"/>
      <c r="F13" s="11" t="n"/>
      <c r="G13" s="11" t="n"/>
      <c r="H13" s="15">
        <f>IFERROR((F13-D13)/(D13-E13),"")</f>
        <v/>
      </c>
      <c r="I13" s="11" t="n"/>
      <c r="J13" s="11" t="n"/>
      <c r="K13" s="11" t="n"/>
      <c r="L13" s="16">
        <f>IF(OR(K13="",D13="",J13=""),"",(K13-D13)*J13)</f>
        <v/>
      </c>
      <c r="M13" s="12">
        <f>IF(D13="","",IF(K13="","OPEN",IF((K13-D13)&gt;0,"WIN","LOSS")))</f>
        <v/>
      </c>
      <c r="N13" s="11" t="n"/>
      <c r="O13" s="11" t="n"/>
    </row>
    <row r="14">
      <c r="A14" s="11" t="n"/>
      <c r="B14" s="11" t="n"/>
      <c r="C14" s="11" t="n"/>
      <c r="D14" s="11" t="n"/>
      <c r="E14" s="11" t="n"/>
      <c r="F14" s="11" t="n"/>
      <c r="G14" s="11" t="n"/>
      <c r="H14" s="15">
        <f>IFERROR((F14-D14)/(D14-E14),"")</f>
        <v/>
      </c>
      <c r="I14" s="11" t="n"/>
      <c r="J14" s="11" t="n"/>
      <c r="K14" s="11" t="n"/>
      <c r="L14" s="16">
        <f>IF(OR(K14="",D14="",J14=""),"",(K14-D14)*J14)</f>
        <v/>
      </c>
      <c r="M14" s="12">
        <f>IF(D14="","",IF(K14="","OPEN",IF((K14-D14)&gt;0,"WIN","LOSS")))</f>
        <v/>
      </c>
      <c r="N14" s="11" t="n"/>
      <c r="O14" s="11" t="n"/>
    </row>
    <row r="15">
      <c r="A15" s="11" t="n"/>
      <c r="B15" s="11" t="n"/>
      <c r="C15" s="11" t="n"/>
      <c r="D15" s="11" t="n"/>
      <c r="E15" s="11" t="n"/>
      <c r="F15" s="11" t="n"/>
      <c r="G15" s="11" t="n"/>
      <c r="H15" s="15">
        <f>IFERROR((F15-D15)/(D15-E15),"")</f>
        <v/>
      </c>
      <c r="I15" s="11" t="n"/>
      <c r="J15" s="11" t="n"/>
      <c r="K15" s="11" t="n"/>
      <c r="L15" s="16">
        <f>IF(OR(K15="",D15="",J15=""),"",(K15-D15)*J15)</f>
        <v/>
      </c>
      <c r="M15" s="12">
        <f>IF(D15="","",IF(K15="","OPEN",IF((K15-D15)&gt;0,"WIN","LOSS")))</f>
        <v/>
      </c>
      <c r="N15" s="11" t="n"/>
      <c r="O15" s="11" t="n"/>
    </row>
    <row r="16">
      <c r="A16" s="11" t="n"/>
      <c r="B16" s="11" t="n"/>
      <c r="C16" s="11" t="n"/>
      <c r="D16" s="11" t="n"/>
      <c r="E16" s="11" t="n"/>
      <c r="F16" s="11" t="n"/>
      <c r="G16" s="11" t="n"/>
      <c r="H16" s="15">
        <f>IFERROR((F16-D16)/(D16-E16),"")</f>
        <v/>
      </c>
      <c r="I16" s="11" t="n"/>
      <c r="J16" s="11" t="n"/>
      <c r="K16" s="11" t="n"/>
      <c r="L16" s="16">
        <f>IF(OR(K16="",D16="",J16=""),"",(K16-D16)*J16)</f>
        <v/>
      </c>
      <c r="M16" s="12">
        <f>IF(D16="","",IF(K16="","OPEN",IF((K16-D16)&gt;0,"WIN","LOSS")))</f>
        <v/>
      </c>
      <c r="N16" s="11" t="n"/>
      <c r="O16" s="11" t="n"/>
    </row>
    <row r="17">
      <c r="A17" s="11" t="n"/>
      <c r="B17" s="11" t="n"/>
      <c r="C17" s="11" t="n"/>
      <c r="D17" s="11" t="n"/>
      <c r="E17" s="11" t="n"/>
      <c r="F17" s="11" t="n"/>
      <c r="G17" s="11" t="n"/>
      <c r="H17" s="15">
        <f>IFERROR((F17-D17)/(D17-E17),"")</f>
        <v/>
      </c>
      <c r="I17" s="11" t="n"/>
      <c r="J17" s="11" t="n"/>
      <c r="K17" s="11" t="n"/>
      <c r="L17" s="16">
        <f>IF(OR(K17="",D17="",J17=""),"",(K17-D17)*J17)</f>
        <v/>
      </c>
      <c r="M17" s="12">
        <f>IF(D17="","",IF(K17="","OPEN",IF((K17-D17)&gt;0,"WIN","LOSS")))</f>
        <v/>
      </c>
      <c r="N17" s="11" t="n"/>
      <c r="O17" s="11" t="n"/>
    </row>
    <row r="18">
      <c r="A18" s="11" t="n"/>
      <c r="B18" s="11" t="n"/>
      <c r="C18" s="11" t="n"/>
      <c r="D18" s="11" t="n"/>
      <c r="E18" s="11" t="n"/>
      <c r="F18" s="11" t="n"/>
      <c r="G18" s="11" t="n"/>
      <c r="H18" s="15">
        <f>IFERROR((F18-D18)/(D18-E18),"")</f>
        <v/>
      </c>
      <c r="I18" s="11" t="n"/>
      <c r="J18" s="11" t="n"/>
      <c r="K18" s="11" t="n"/>
      <c r="L18" s="16">
        <f>IF(OR(K18="",D18="",J18=""),"",(K18-D18)*J18)</f>
        <v/>
      </c>
      <c r="M18" s="12">
        <f>IF(D18="","",IF(K18="","OPEN",IF((K18-D18)&gt;0,"WIN","LOSS")))</f>
        <v/>
      </c>
      <c r="N18" s="11" t="n"/>
      <c r="O18" s="11" t="n"/>
      <c r="Q18" s="5" t="inlineStr">
        <is>
          <t>Summary (closed paper trades)</t>
        </is>
      </c>
    </row>
    <row r="19">
      <c r="A19" s="11" t="n"/>
      <c r="B19" s="11" t="n"/>
      <c r="C19" s="11" t="n"/>
      <c r="D19" s="11" t="n"/>
      <c r="E19" s="11" t="n"/>
      <c r="F19" s="11" t="n"/>
      <c r="G19" s="11" t="n"/>
      <c r="H19" s="15">
        <f>IFERROR((F19-D19)/(D19-E19),"")</f>
        <v/>
      </c>
      <c r="I19" s="11" t="n"/>
      <c r="J19" s="11" t="n"/>
      <c r="K19" s="11" t="n"/>
      <c r="L19" s="16">
        <f>IF(OR(K19="",D19="",J19=""),"",(K19-D19)*J19)</f>
        <v/>
      </c>
      <c r="M19" s="12">
        <f>IF(D19="","",IF(K19="","OPEN",IF((K19-D19)&gt;0,"WIN","LOSS")))</f>
        <v/>
      </c>
      <c r="N19" s="11" t="n"/>
      <c r="O19" s="11" t="n"/>
      <c r="Q19" s="3" t="inlineStr">
        <is>
          <t>Trades taken</t>
        </is>
      </c>
      <c r="R19" s="17">
        <f>COUNTA(A3:A120)</f>
        <v/>
      </c>
    </row>
    <row r="20">
      <c r="A20" s="11" t="n"/>
      <c r="B20" s="11" t="n"/>
      <c r="C20" s="11" t="n"/>
      <c r="D20" s="11" t="n"/>
      <c r="E20" s="11" t="n"/>
      <c r="F20" s="11" t="n"/>
      <c r="G20" s="11" t="n"/>
      <c r="H20" s="15">
        <f>IFERROR((F20-D20)/(D20-E20),"")</f>
        <v/>
      </c>
      <c r="I20" s="11" t="n"/>
      <c r="J20" s="11" t="n"/>
      <c r="K20" s="11" t="n"/>
      <c r="L20" s="16">
        <f>IF(OR(K20="",D20="",J20=""),"",(K20-D20)*J20)</f>
        <v/>
      </c>
      <c r="M20" s="12">
        <f>IF(D20="","",IF(K20="","OPEN",IF((K20-D20)&gt;0,"WIN","LOSS")))</f>
        <v/>
      </c>
      <c r="N20" s="11" t="n"/>
      <c r="O20" s="11" t="n"/>
      <c r="Q20" s="3" t="inlineStr">
        <is>
          <t>Closed trades</t>
        </is>
      </c>
      <c r="R20" s="17">
        <f>COUNTIF(M3:M120,"WIN")+COUNTIF(M3:M120,"LOSS")</f>
        <v/>
      </c>
    </row>
    <row r="21">
      <c r="A21" s="11" t="n"/>
      <c r="B21" s="11" t="n"/>
      <c r="C21" s="11" t="n"/>
      <c r="D21" s="11" t="n"/>
      <c r="E21" s="11" t="n"/>
      <c r="F21" s="11" t="n"/>
      <c r="G21" s="11" t="n"/>
      <c r="H21" s="15">
        <f>IFERROR((F21-D21)/(D21-E21),"")</f>
        <v/>
      </c>
      <c r="I21" s="11" t="n"/>
      <c r="J21" s="11" t="n"/>
      <c r="K21" s="11" t="n"/>
      <c r="L21" s="16">
        <f>IF(OR(K21="",D21="",J21=""),"",(K21-D21)*J21)</f>
        <v/>
      </c>
      <c r="M21" s="12">
        <f>IF(D21="","",IF(K21="","OPEN",IF((K21-D21)&gt;0,"WIN","LOSS")))</f>
        <v/>
      </c>
      <c r="N21" s="11" t="n"/>
      <c r="O21" s="11" t="n"/>
      <c r="Q21" s="3" t="inlineStr">
        <is>
          <t>Wins</t>
        </is>
      </c>
      <c r="R21" s="17">
        <f>COUNTIF(M3:M120,"WIN")</f>
        <v/>
      </c>
    </row>
    <row r="22">
      <c r="A22" s="11" t="n"/>
      <c r="B22" s="11" t="n"/>
      <c r="C22" s="11" t="n"/>
      <c r="D22" s="11" t="n"/>
      <c r="E22" s="11" t="n"/>
      <c r="F22" s="11" t="n"/>
      <c r="G22" s="11" t="n"/>
      <c r="H22" s="15">
        <f>IFERROR((F22-D22)/(D22-E22),"")</f>
        <v/>
      </c>
      <c r="I22" s="11" t="n"/>
      <c r="J22" s="11" t="n"/>
      <c r="K22" s="11" t="n"/>
      <c r="L22" s="16">
        <f>IF(OR(K22="",D22="",J22=""),"",(K22-D22)*J22)</f>
        <v/>
      </c>
      <c r="M22" s="12">
        <f>IF(D22="","",IF(K22="","OPEN",IF((K22-D22)&gt;0,"WIN","LOSS")))</f>
        <v/>
      </c>
      <c r="N22" s="11" t="n"/>
      <c r="O22" s="11" t="n"/>
      <c r="Q22" s="3" t="inlineStr">
        <is>
          <t>Losses</t>
        </is>
      </c>
      <c r="R22" s="17">
        <f>COUNTIF(M3:M120,"LOSS")</f>
        <v/>
      </c>
    </row>
    <row r="23">
      <c r="A23" s="11" t="n"/>
      <c r="B23" s="11" t="n"/>
      <c r="C23" s="11" t="n"/>
      <c r="D23" s="11" t="n"/>
      <c r="E23" s="11" t="n"/>
      <c r="F23" s="11" t="n"/>
      <c r="G23" s="11" t="n"/>
      <c r="H23" s="15">
        <f>IFERROR((F23-D23)/(D23-E23),"")</f>
        <v/>
      </c>
      <c r="I23" s="11" t="n"/>
      <c r="J23" s="11" t="n"/>
      <c r="K23" s="11" t="n"/>
      <c r="L23" s="16">
        <f>IF(OR(K23="",D23="",J23=""),"",(K23-D23)*J23)</f>
        <v/>
      </c>
      <c r="M23" s="12">
        <f>IF(D23="","",IF(K23="","OPEN",IF((K23-D23)&gt;0,"WIN","LOSS")))</f>
        <v/>
      </c>
      <c r="N23" s="11" t="n"/>
      <c r="O23" s="11" t="n"/>
      <c r="Q23" s="3" t="inlineStr">
        <is>
          <t>Win rate</t>
        </is>
      </c>
      <c r="R23" s="17">
        <f>IFERROR(R21/(R21+R22),"")</f>
        <v/>
      </c>
    </row>
    <row r="24">
      <c r="A24" s="11" t="n"/>
      <c r="B24" s="11" t="n"/>
      <c r="C24" s="11" t="n"/>
      <c r="D24" s="11" t="n"/>
      <c r="E24" s="11" t="n"/>
      <c r="F24" s="11" t="n"/>
      <c r="G24" s="11" t="n"/>
      <c r="H24" s="15">
        <f>IFERROR((F24-D24)/(D24-E24),"")</f>
        <v/>
      </c>
      <c r="I24" s="11" t="n"/>
      <c r="J24" s="11" t="n"/>
      <c r="K24" s="11" t="n"/>
      <c r="L24" s="16">
        <f>IF(OR(K24="",D24="",J24=""),"",(K24-D24)*J24)</f>
        <v/>
      </c>
      <c r="M24" s="12">
        <f>IF(D24="","",IF(K24="","OPEN",IF((K24-D24)&gt;0,"WIN","LOSS")))</f>
        <v/>
      </c>
      <c r="N24" s="11" t="n"/>
      <c r="O24" s="11" t="n"/>
      <c r="Q24" s="3" t="inlineStr">
        <is>
          <t>Net P&amp;L</t>
        </is>
      </c>
      <c r="R24" s="18">
        <f>SUM(L3:L120)</f>
        <v/>
      </c>
    </row>
    <row r="25">
      <c r="A25" s="11" t="n"/>
      <c r="B25" s="11" t="n"/>
      <c r="C25" s="11" t="n"/>
      <c r="D25" s="11" t="n"/>
      <c r="E25" s="11" t="n"/>
      <c r="F25" s="11" t="n"/>
      <c r="G25" s="11" t="n"/>
      <c r="H25" s="15">
        <f>IFERROR((F25-D25)/(D25-E25),"")</f>
        <v/>
      </c>
      <c r="I25" s="11" t="n"/>
      <c r="J25" s="11" t="n"/>
      <c r="K25" s="11" t="n"/>
      <c r="L25" s="16">
        <f>IF(OR(K25="",D25="",J25=""),"",(K25-D25)*J25)</f>
        <v/>
      </c>
      <c r="M25" s="12">
        <f>IF(D25="","",IF(K25="","OPEN",IF((K25-D25)&gt;0,"WIN","LOSS")))</f>
        <v/>
      </c>
      <c r="N25" s="11" t="n"/>
      <c r="O25" s="11" t="n"/>
      <c r="Q25" s="3" t="inlineStr">
        <is>
          <t>Gross profit</t>
        </is>
      </c>
      <c r="R25" s="19">
        <f>SUMIF(M3:M120,"WIN",L3:L120)</f>
        <v/>
      </c>
    </row>
    <row r="26">
      <c r="A26" s="11" t="n"/>
      <c r="B26" s="11" t="n"/>
      <c r="C26" s="11" t="n"/>
      <c r="D26" s="11" t="n"/>
      <c r="E26" s="11" t="n"/>
      <c r="F26" s="11" t="n"/>
      <c r="G26" s="11" t="n"/>
      <c r="H26" s="15">
        <f>IFERROR((F26-D26)/(D26-E26),"")</f>
        <v/>
      </c>
      <c r="I26" s="11" t="n"/>
      <c r="J26" s="11" t="n"/>
      <c r="K26" s="11" t="n"/>
      <c r="L26" s="16">
        <f>IF(OR(K26="",D26="",J26=""),"",(K26-D26)*J26)</f>
        <v/>
      </c>
      <c r="M26" s="12">
        <f>IF(D26="","",IF(K26="","OPEN",IF((K26-D26)&gt;0,"WIN","LOSS")))</f>
        <v/>
      </c>
      <c r="N26" s="11" t="n"/>
      <c r="O26" s="11" t="n"/>
      <c r="Q26" s="3" t="inlineStr">
        <is>
          <t>Gross loss</t>
        </is>
      </c>
      <c r="R26" s="19">
        <f>SUMIF(M3:M120,"LOSS",L3:L120)</f>
        <v/>
      </c>
    </row>
    <row r="27">
      <c r="A27" s="11" t="n"/>
      <c r="B27" s="11" t="n"/>
      <c r="C27" s="11" t="n"/>
      <c r="D27" s="11" t="n"/>
      <c r="E27" s="11" t="n"/>
      <c r="F27" s="11" t="n"/>
      <c r="G27" s="11" t="n"/>
      <c r="H27" s="15">
        <f>IFERROR((F27-D27)/(D27-E27),"")</f>
        <v/>
      </c>
      <c r="I27" s="11" t="n"/>
      <c r="J27" s="11" t="n"/>
      <c r="K27" s="11" t="n"/>
      <c r="L27" s="16">
        <f>IF(OR(K27="",D27="",J27=""),"",(K27-D27)*J27)</f>
        <v/>
      </c>
      <c r="M27" s="12">
        <f>IF(D27="","",IF(K27="","OPEN",IF((K27-D27)&gt;0,"WIN","LOSS")))</f>
        <v/>
      </c>
      <c r="N27" s="11" t="n"/>
      <c r="O27" s="11" t="n"/>
      <c r="Q27" s="3" t="inlineStr">
        <is>
          <t>Rule violations logged</t>
        </is>
      </c>
      <c r="R27" s="19">
        <f>COUNTA(N3:N120)</f>
        <v/>
      </c>
    </row>
    <row r="28">
      <c r="A28" s="11" t="n"/>
      <c r="B28" s="11" t="n"/>
      <c r="C28" s="11" t="n"/>
      <c r="D28" s="11" t="n"/>
      <c r="E28" s="11" t="n"/>
      <c r="F28" s="11" t="n"/>
      <c r="G28" s="11" t="n"/>
      <c r="H28" s="15">
        <f>IFERROR((F28-D28)/(D28-E28),"")</f>
        <v/>
      </c>
      <c r="I28" s="11" t="n"/>
      <c r="J28" s="11" t="n"/>
      <c r="K28" s="11" t="n"/>
      <c r="L28" s="16">
        <f>IF(OR(K28="",D28="",J28=""),"",(K28-D28)*J28)</f>
        <v/>
      </c>
      <c r="M28" s="12">
        <f>IF(D28="","",IF(K28="","OPEN",IF((K28-D28)&gt;0,"WIN","LOSS")))</f>
        <v/>
      </c>
      <c r="N28" s="11" t="n"/>
      <c r="O28" s="11" t="n"/>
    </row>
    <row r="29">
      <c r="A29" s="11" t="n"/>
      <c r="B29" s="11" t="n"/>
      <c r="C29" s="11" t="n"/>
      <c r="D29" s="11" t="n"/>
      <c r="E29" s="11" t="n"/>
      <c r="F29" s="11" t="n"/>
      <c r="G29" s="11" t="n"/>
      <c r="H29" s="15">
        <f>IFERROR((F29-D29)/(D29-E29),"")</f>
        <v/>
      </c>
      <c r="I29" s="11" t="n"/>
      <c r="J29" s="11" t="n"/>
      <c r="K29" s="11" t="n"/>
      <c r="L29" s="16">
        <f>IF(OR(K29="",D29="",J29=""),"",(K29-D29)*J29)</f>
        <v/>
      </c>
      <c r="M29" s="12">
        <f>IF(D29="","",IF(K29="","OPEN",IF((K29-D29)&gt;0,"WIN","LOSS")))</f>
        <v/>
      </c>
      <c r="N29" s="11" t="n"/>
      <c r="O29" s="11" t="n"/>
    </row>
    <row r="30">
      <c r="A30" s="11" t="n"/>
      <c r="B30" s="11" t="n"/>
      <c r="C30" s="11" t="n"/>
      <c r="D30" s="11" t="n"/>
      <c r="E30" s="11" t="n"/>
      <c r="F30" s="11" t="n"/>
      <c r="G30" s="11" t="n"/>
      <c r="H30" s="15">
        <f>IFERROR((F30-D30)/(D30-E30),"")</f>
        <v/>
      </c>
      <c r="I30" s="11" t="n"/>
      <c r="J30" s="11" t="n"/>
      <c r="K30" s="11" t="n"/>
      <c r="L30" s="16">
        <f>IF(OR(K30="",D30="",J30=""),"",(K30-D30)*J30)</f>
        <v/>
      </c>
      <c r="M30" s="12">
        <f>IF(D30="","",IF(K30="","OPEN",IF((K30-D30)&gt;0,"WIN","LOSS")))</f>
        <v/>
      </c>
      <c r="N30" s="11" t="n"/>
      <c r="O30" s="11" t="n"/>
    </row>
    <row r="31">
      <c r="A31" s="11" t="n"/>
      <c r="B31" s="11" t="n"/>
      <c r="C31" s="11" t="n"/>
      <c r="D31" s="11" t="n"/>
      <c r="E31" s="11" t="n"/>
      <c r="F31" s="11" t="n"/>
      <c r="G31" s="11" t="n"/>
      <c r="H31" s="15">
        <f>IFERROR((F31-D31)/(D31-E31),"")</f>
        <v/>
      </c>
      <c r="I31" s="11" t="n"/>
      <c r="J31" s="11" t="n"/>
      <c r="K31" s="11" t="n"/>
      <c r="L31" s="16">
        <f>IF(OR(K31="",D31="",J31=""),"",(K31-D31)*J31)</f>
        <v/>
      </c>
      <c r="M31" s="12">
        <f>IF(D31="","",IF(K31="","OPEN",IF((K31-D31)&gt;0,"WIN","LOSS")))</f>
        <v/>
      </c>
      <c r="N31" s="11" t="n"/>
      <c r="O31" s="11" t="n"/>
    </row>
    <row r="32">
      <c r="A32" s="11" t="n"/>
      <c r="B32" s="11" t="n"/>
      <c r="C32" s="11" t="n"/>
      <c r="D32" s="11" t="n"/>
      <c r="E32" s="11" t="n"/>
      <c r="F32" s="11" t="n"/>
      <c r="G32" s="11" t="n"/>
      <c r="H32" s="15">
        <f>IFERROR((F32-D32)/(D32-E32),"")</f>
        <v/>
      </c>
      <c r="I32" s="11" t="n"/>
      <c r="J32" s="11" t="n"/>
      <c r="K32" s="11" t="n"/>
      <c r="L32" s="16">
        <f>IF(OR(K32="",D32="",J32=""),"",(K32-D32)*J32)</f>
        <v/>
      </c>
      <c r="M32" s="12">
        <f>IF(D32="","",IF(K32="","OPEN",IF((K32-D32)&gt;0,"WIN","LOSS")))</f>
        <v/>
      </c>
      <c r="N32" s="11" t="n"/>
      <c r="O32" s="11" t="n"/>
    </row>
    <row r="33">
      <c r="A33" s="11" t="n"/>
      <c r="B33" s="11" t="n"/>
      <c r="C33" s="11" t="n"/>
      <c r="D33" s="11" t="n"/>
      <c r="E33" s="11" t="n"/>
      <c r="F33" s="11" t="n"/>
      <c r="G33" s="11" t="n"/>
      <c r="H33" s="15">
        <f>IFERROR((F33-D33)/(D33-E33),"")</f>
        <v/>
      </c>
      <c r="I33" s="11" t="n"/>
      <c r="J33" s="11" t="n"/>
      <c r="K33" s="11" t="n"/>
      <c r="L33" s="16">
        <f>IF(OR(K33="",D33="",J33=""),"",(K33-D33)*J33)</f>
        <v/>
      </c>
      <c r="M33" s="12">
        <f>IF(D33="","",IF(K33="","OPEN",IF((K33-D33)&gt;0,"WIN","LOSS")))</f>
        <v/>
      </c>
      <c r="N33" s="11" t="n"/>
      <c r="O33" s="11" t="n"/>
    </row>
    <row r="34">
      <c r="A34" s="11" t="n"/>
      <c r="B34" s="11" t="n"/>
      <c r="C34" s="11" t="n"/>
      <c r="D34" s="11" t="n"/>
      <c r="E34" s="11" t="n"/>
      <c r="F34" s="11" t="n"/>
      <c r="G34" s="11" t="n"/>
      <c r="H34" s="15">
        <f>IFERROR((F34-D34)/(D34-E34),"")</f>
        <v/>
      </c>
      <c r="I34" s="11" t="n"/>
      <c r="J34" s="11" t="n"/>
      <c r="K34" s="11" t="n"/>
      <c r="L34" s="16">
        <f>IF(OR(K34="",D34="",J34=""),"",(K34-D34)*J34)</f>
        <v/>
      </c>
      <c r="M34" s="12">
        <f>IF(D34="","",IF(K34="","OPEN",IF((K34-D34)&gt;0,"WIN","LOSS")))</f>
        <v/>
      </c>
      <c r="N34" s="11" t="n"/>
      <c r="O34" s="11" t="n"/>
    </row>
    <row r="35">
      <c r="A35" s="11" t="n"/>
      <c r="B35" s="11" t="n"/>
      <c r="C35" s="11" t="n"/>
      <c r="D35" s="11" t="n"/>
      <c r="E35" s="11" t="n"/>
      <c r="F35" s="11" t="n"/>
      <c r="G35" s="11" t="n"/>
      <c r="H35" s="15">
        <f>IFERROR((F35-D35)/(D35-E35),"")</f>
        <v/>
      </c>
      <c r="I35" s="11" t="n"/>
      <c r="J35" s="11" t="n"/>
      <c r="K35" s="11" t="n"/>
      <c r="L35" s="16">
        <f>IF(OR(K35="",D35="",J35=""),"",(K35-D35)*J35)</f>
        <v/>
      </c>
      <c r="M35" s="12">
        <f>IF(D35="","",IF(K35="","OPEN",IF((K35-D35)&gt;0,"WIN","LOSS")))</f>
        <v/>
      </c>
      <c r="N35" s="11" t="n"/>
      <c r="O35" s="11" t="n"/>
    </row>
    <row r="36">
      <c r="A36" s="11" t="n"/>
      <c r="B36" s="11" t="n"/>
      <c r="C36" s="11" t="n"/>
      <c r="D36" s="11" t="n"/>
      <c r="E36" s="11" t="n"/>
      <c r="F36" s="11" t="n"/>
      <c r="G36" s="11" t="n"/>
      <c r="H36" s="15">
        <f>IFERROR((F36-D36)/(D36-E36),"")</f>
        <v/>
      </c>
      <c r="I36" s="11" t="n"/>
      <c r="J36" s="11" t="n"/>
      <c r="K36" s="11" t="n"/>
      <c r="L36" s="16">
        <f>IF(OR(K36="",D36="",J36=""),"",(K36-D36)*J36)</f>
        <v/>
      </c>
      <c r="M36" s="12">
        <f>IF(D36="","",IF(K36="","OPEN",IF((K36-D36)&gt;0,"WIN","LOSS")))</f>
        <v/>
      </c>
      <c r="N36" s="11" t="n"/>
      <c r="O36" s="11" t="n"/>
    </row>
    <row r="37">
      <c r="A37" s="11" t="n"/>
      <c r="B37" s="11" t="n"/>
      <c r="C37" s="11" t="n"/>
      <c r="D37" s="11" t="n"/>
      <c r="E37" s="11" t="n"/>
      <c r="F37" s="11" t="n"/>
      <c r="G37" s="11" t="n"/>
      <c r="H37" s="15">
        <f>IFERROR((F37-D37)/(D37-E37),"")</f>
        <v/>
      </c>
      <c r="I37" s="11" t="n"/>
      <c r="J37" s="11" t="n"/>
      <c r="K37" s="11" t="n"/>
      <c r="L37" s="16">
        <f>IF(OR(K37="",D37="",J37=""),"",(K37-D37)*J37)</f>
        <v/>
      </c>
      <c r="M37" s="12">
        <f>IF(D37="","",IF(K37="","OPEN",IF((K37-D37)&gt;0,"WIN","LOSS")))</f>
        <v/>
      </c>
      <c r="N37" s="11" t="n"/>
      <c r="O37" s="11" t="n"/>
    </row>
    <row r="38">
      <c r="A38" s="11" t="n"/>
      <c r="B38" s="11" t="n"/>
      <c r="C38" s="11" t="n"/>
      <c r="D38" s="11" t="n"/>
      <c r="E38" s="11" t="n"/>
      <c r="F38" s="11" t="n"/>
      <c r="G38" s="11" t="n"/>
      <c r="H38" s="15">
        <f>IFERROR((F38-D38)/(D38-E38),"")</f>
        <v/>
      </c>
      <c r="I38" s="11" t="n"/>
      <c r="J38" s="11" t="n"/>
      <c r="K38" s="11" t="n"/>
      <c r="L38" s="16">
        <f>IF(OR(K38="",D38="",J38=""),"",(K38-D38)*J38)</f>
        <v/>
      </c>
      <c r="M38" s="12">
        <f>IF(D38="","",IF(K38="","OPEN",IF((K38-D38)&gt;0,"WIN","LOSS")))</f>
        <v/>
      </c>
      <c r="N38" s="11" t="n"/>
      <c r="O38" s="11" t="n"/>
    </row>
    <row r="39">
      <c r="A39" s="11" t="n"/>
      <c r="B39" s="11" t="n"/>
      <c r="C39" s="11" t="n"/>
      <c r="D39" s="11" t="n"/>
      <c r="E39" s="11" t="n"/>
      <c r="F39" s="11" t="n"/>
      <c r="G39" s="11" t="n"/>
      <c r="H39" s="15">
        <f>IFERROR((F39-D39)/(D39-E39),"")</f>
        <v/>
      </c>
      <c r="I39" s="11" t="n"/>
      <c r="J39" s="11" t="n"/>
      <c r="K39" s="11" t="n"/>
      <c r="L39" s="16">
        <f>IF(OR(K39="",D39="",J39=""),"",(K39-D39)*J39)</f>
        <v/>
      </c>
      <c r="M39" s="12">
        <f>IF(D39="","",IF(K39="","OPEN",IF((K39-D39)&gt;0,"WIN","LOSS")))</f>
        <v/>
      </c>
      <c r="N39" s="11" t="n"/>
      <c r="O39" s="11" t="n"/>
    </row>
    <row r="40">
      <c r="A40" s="11" t="n"/>
      <c r="B40" s="11" t="n"/>
      <c r="C40" s="11" t="n"/>
      <c r="D40" s="11" t="n"/>
      <c r="E40" s="11" t="n"/>
      <c r="F40" s="11" t="n"/>
      <c r="G40" s="11" t="n"/>
      <c r="H40" s="15">
        <f>IFERROR((F40-D40)/(D40-E40),"")</f>
        <v/>
      </c>
      <c r="I40" s="11" t="n"/>
      <c r="J40" s="11" t="n"/>
      <c r="K40" s="11" t="n"/>
      <c r="L40" s="16">
        <f>IF(OR(K40="",D40="",J40=""),"",(K40-D40)*J40)</f>
        <v/>
      </c>
      <c r="M40" s="12">
        <f>IF(D40="","",IF(K40="","OPEN",IF((K40-D40)&gt;0,"WIN","LOSS")))</f>
        <v/>
      </c>
      <c r="N40" s="11" t="n"/>
      <c r="O40" s="11" t="n"/>
    </row>
    <row r="41">
      <c r="A41" s="11" t="n"/>
      <c r="B41" s="11" t="n"/>
      <c r="C41" s="11" t="n"/>
      <c r="D41" s="11" t="n"/>
      <c r="E41" s="11" t="n"/>
      <c r="F41" s="11" t="n"/>
      <c r="G41" s="11" t="n"/>
      <c r="H41" s="15">
        <f>IFERROR((F41-D41)/(D41-E41),"")</f>
        <v/>
      </c>
      <c r="I41" s="11" t="n"/>
      <c r="J41" s="11" t="n"/>
      <c r="K41" s="11" t="n"/>
      <c r="L41" s="16">
        <f>IF(OR(K41="",D41="",J41=""),"",(K41-D41)*J41)</f>
        <v/>
      </c>
      <c r="M41" s="12">
        <f>IF(D41="","",IF(K41="","OPEN",IF((K41-D41)&gt;0,"WIN","LOSS")))</f>
        <v/>
      </c>
      <c r="N41" s="11" t="n"/>
      <c r="O41" s="11" t="n"/>
    </row>
    <row r="42">
      <c r="A42" s="11" t="n"/>
      <c r="B42" s="11" t="n"/>
      <c r="C42" s="11" t="n"/>
      <c r="D42" s="11" t="n"/>
      <c r="E42" s="11" t="n"/>
      <c r="F42" s="11" t="n"/>
      <c r="G42" s="11" t="n"/>
      <c r="H42" s="15">
        <f>IFERROR((F42-D42)/(D42-E42),"")</f>
        <v/>
      </c>
      <c r="I42" s="11" t="n"/>
      <c r="J42" s="11" t="n"/>
      <c r="K42" s="11" t="n"/>
      <c r="L42" s="16">
        <f>IF(OR(K42="",D42="",J42=""),"",(K42-D42)*J42)</f>
        <v/>
      </c>
      <c r="M42" s="12">
        <f>IF(D42="","",IF(K42="","OPEN",IF((K42-D42)&gt;0,"WIN","LOSS")))</f>
        <v/>
      </c>
      <c r="N42" s="11" t="n"/>
      <c r="O42" s="11" t="n"/>
    </row>
    <row r="43">
      <c r="A43" s="11" t="n"/>
      <c r="B43" s="11" t="n"/>
      <c r="C43" s="11" t="n"/>
      <c r="D43" s="11" t="n"/>
      <c r="E43" s="11" t="n"/>
      <c r="F43" s="11" t="n"/>
      <c r="G43" s="11" t="n"/>
      <c r="H43" s="15">
        <f>IFERROR((F43-D43)/(D43-E43),"")</f>
        <v/>
      </c>
      <c r="I43" s="11" t="n"/>
      <c r="J43" s="11" t="n"/>
      <c r="K43" s="11" t="n"/>
      <c r="L43" s="16">
        <f>IF(OR(K43="",D43="",J43=""),"",(K43-D43)*J43)</f>
        <v/>
      </c>
      <c r="M43" s="12">
        <f>IF(D43="","",IF(K43="","OPEN",IF((K43-D43)&gt;0,"WIN","LOSS")))</f>
        <v/>
      </c>
      <c r="N43" s="11" t="n"/>
      <c r="O43" s="11" t="n"/>
    </row>
    <row r="44">
      <c r="A44" s="11" t="n"/>
      <c r="B44" s="11" t="n"/>
      <c r="C44" s="11" t="n"/>
      <c r="D44" s="11" t="n"/>
      <c r="E44" s="11" t="n"/>
      <c r="F44" s="11" t="n"/>
      <c r="G44" s="11" t="n"/>
      <c r="H44" s="15">
        <f>IFERROR((F44-D44)/(D44-E44),"")</f>
        <v/>
      </c>
      <c r="I44" s="11" t="n"/>
      <c r="J44" s="11" t="n"/>
      <c r="K44" s="11" t="n"/>
      <c r="L44" s="16">
        <f>IF(OR(K44="",D44="",J44=""),"",(K44-D44)*J44)</f>
        <v/>
      </c>
      <c r="M44" s="12">
        <f>IF(D44="","",IF(K44="","OPEN",IF((K44-D44)&gt;0,"WIN","LOSS")))</f>
        <v/>
      </c>
      <c r="N44" s="11" t="n"/>
      <c r="O44" s="11" t="n"/>
    </row>
    <row r="45">
      <c r="A45" s="11" t="n"/>
      <c r="B45" s="11" t="n"/>
      <c r="C45" s="11" t="n"/>
      <c r="D45" s="11" t="n"/>
      <c r="E45" s="11" t="n"/>
      <c r="F45" s="11" t="n"/>
      <c r="G45" s="11" t="n"/>
      <c r="H45" s="15">
        <f>IFERROR((F45-D45)/(D45-E45),"")</f>
        <v/>
      </c>
      <c r="I45" s="11" t="n"/>
      <c r="J45" s="11" t="n"/>
      <c r="K45" s="11" t="n"/>
      <c r="L45" s="16">
        <f>IF(OR(K45="",D45="",J45=""),"",(K45-D45)*J45)</f>
        <v/>
      </c>
      <c r="M45" s="12">
        <f>IF(D45="","",IF(K45="","OPEN",IF((K45-D45)&gt;0,"WIN","LOSS")))</f>
        <v/>
      </c>
      <c r="N45" s="11" t="n"/>
      <c r="O45" s="11" t="n"/>
    </row>
    <row r="46">
      <c r="A46" s="11" t="n"/>
      <c r="B46" s="11" t="n"/>
      <c r="C46" s="11" t="n"/>
      <c r="D46" s="11" t="n"/>
      <c r="E46" s="11" t="n"/>
      <c r="F46" s="11" t="n"/>
      <c r="G46" s="11" t="n"/>
      <c r="H46" s="15">
        <f>IFERROR((F46-D46)/(D46-E46),"")</f>
        <v/>
      </c>
      <c r="I46" s="11" t="n"/>
      <c r="J46" s="11" t="n"/>
      <c r="K46" s="11" t="n"/>
      <c r="L46" s="16">
        <f>IF(OR(K46="",D46="",J46=""),"",(K46-D46)*J46)</f>
        <v/>
      </c>
      <c r="M46" s="12">
        <f>IF(D46="","",IF(K46="","OPEN",IF((K46-D46)&gt;0,"WIN","LOSS")))</f>
        <v/>
      </c>
      <c r="N46" s="11" t="n"/>
      <c r="O46" s="11" t="n"/>
    </row>
    <row r="47">
      <c r="A47" s="11" t="n"/>
      <c r="B47" s="11" t="n"/>
      <c r="C47" s="11" t="n"/>
      <c r="D47" s="11" t="n"/>
      <c r="E47" s="11" t="n"/>
      <c r="F47" s="11" t="n"/>
      <c r="G47" s="11" t="n"/>
      <c r="H47" s="15">
        <f>IFERROR((F47-D47)/(D47-E47),"")</f>
        <v/>
      </c>
      <c r="I47" s="11" t="n"/>
      <c r="J47" s="11" t="n"/>
      <c r="K47" s="11" t="n"/>
      <c r="L47" s="16">
        <f>IF(OR(K47="",D47="",J47=""),"",(K47-D47)*J47)</f>
        <v/>
      </c>
      <c r="M47" s="12">
        <f>IF(D47="","",IF(K47="","OPEN",IF((K47-D47)&gt;0,"WIN","LOSS")))</f>
        <v/>
      </c>
      <c r="N47" s="11" t="n"/>
      <c r="O47" s="11" t="n"/>
    </row>
    <row r="48">
      <c r="A48" s="11" t="n"/>
      <c r="B48" s="11" t="n"/>
      <c r="C48" s="11" t="n"/>
      <c r="D48" s="11" t="n"/>
      <c r="E48" s="11" t="n"/>
      <c r="F48" s="11" t="n"/>
      <c r="G48" s="11" t="n"/>
      <c r="H48" s="15">
        <f>IFERROR((F48-D48)/(D48-E48),"")</f>
        <v/>
      </c>
      <c r="I48" s="11" t="n"/>
      <c r="J48" s="11" t="n"/>
      <c r="K48" s="11" t="n"/>
      <c r="L48" s="16">
        <f>IF(OR(K48="",D48="",J48=""),"",(K48-D48)*J48)</f>
        <v/>
      </c>
      <c r="M48" s="12">
        <f>IF(D48="","",IF(K48="","OPEN",IF((K48-D48)&gt;0,"WIN","LOSS")))</f>
        <v/>
      </c>
      <c r="N48" s="11" t="n"/>
      <c r="O48" s="11" t="n"/>
    </row>
    <row r="49">
      <c r="A49" s="11" t="n"/>
      <c r="B49" s="11" t="n"/>
      <c r="C49" s="11" t="n"/>
      <c r="D49" s="11" t="n"/>
      <c r="E49" s="11" t="n"/>
      <c r="F49" s="11" t="n"/>
      <c r="G49" s="11" t="n"/>
      <c r="H49" s="15">
        <f>IFERROR((F49-D49)/(D49-E49),"")</f>
        <v/>
      </c>
      <c r="I49" s="11" t="n"/>
      <c r="J49" s="11" t="n"/>
      <c r="K49" s="11" t="n"/>
      <c r="L49" s="16">
        <f>IF(OR(K49="",D49="",J49=""),"",(K49-D49)*J49)</f>
        <v/>
      </c>
      <c r="M49" s="12">
        <f>IF(D49="","",IF(K49="","OPEN",IF((K49-D49)&gt;0,"WIN","LOSS")))</f>
        <v/>
      </c>
      <c r="N49" s="11" t="n"/>
      <c r="O49" s="11" t="n"/>
    </row>
    <row r="50">
      <c r="A50" s="11" t="n"/>
      <c r="B50" s="11" t="n"/>
      <c r="C50" s="11" t="n"/>
      <c r="D50" s="11" t="n"/>
      <c r="E50" s="11" t="n"/>
      <c r="F50" s="11" t="n"/>
      <c r="G50" s="11" t="n"/>
      <c r="H50" s="15">
        <f>IFERROR((F50-D50)/(D50-E50),"")</f>
        <v/>
      </c>
      <c r="I50" s="11" t="n"/>
      <c r="J50" s="11" t="n"/>
      <c r="K50" s="11" t="n"/>
      <c r="L50" s="16">
        <f>IF(OR(K50="",D50="",J50=""),"",(K50-D50)*J50)</f>
        <v/>
      </c>
      <c r="M50" s="12">
        <f>IF(D50="","",IF(K50="","OPEN",IF((K50-D50)&gt;0,"WIN","LOSS")))</f>
        <v/>
      </c>
      <c r="N50" s="11" t="n"/>
      <c r="O50" s="11" t="n"/>
    </row>
    <row r="51">
      <c r="A51" s="11" t="n"/>
      <c r="B51" s="11" t="n"/>
      <c r="C51" s="11" t="n"/>
      <c r="D51" s="11" t="n"/>
      <c r="E51" s="11" t="n"/>
      <c r="F51" s="11" t="n"/>
      <c r="G51" s="11" t="n"/>
      <c r="H51" s="15">
        <f>IFERROR((F51-D51)/(D51-E51),"")</f>
        <v/>
      </c>
      <c r="I51" s="11" t="n"/>
      <c r="J51" s="11" t="n"/>
      <c r="K51" s="11" t="n"/>
      <c r="L51" s="16">
        <f>IF(OR(K51="",D51="",J51=""),"",(K51-D51)*J51)</f>
        <v/>
      </c>
      <c r="M51" s="12">
        <f>IF(D51="","",IF(K51="","OPEN",IF((K51-D51)&gt;0,"WIN","LOSS")))</f>
        <v/>
      </c>
      <c r="N51" s="11" t="n"/>
      <c r="O51" s="11" t="n"/>
    </row>
    <row r="52">
      <c r="A52" s="11" t="n"/>
      <c r="B52" s="11" t="n"/>
      <c r="C52" s="11" t="n"/>
      <c r="D52" s="11" t="n"/>
      <c r="E52" s="11" t="n"/>
      <c r="F52" s="11" t="n"/>
      <c r="G52" s="11" t="n"/>
      <c r="H52" s="15">
        <f>IFERROR((F52-D52)/(D52-E52),"")</f>
        <v/>
      </c>
      <c r="I52" s="11" t="n"/>
      <c r="J52" s="11" t="n"/>
      <c r="K52" s="11" t="n"/>
      <c r="L52" s="16">
        <f>IF(OR(K52="",D52="",J52=""),"",(K52-D52)*J52)</f>
        <v/>
      </c>
      <c r="M52" s="12">
        <f>IF(D52="","",IF(K52="","OPEN",IF((K52-D52)&gt;0,"WIN","LOSS")))</f>
        <v/>
      </c>
      <c r="N52" s="11" t="n"/>
      <c r="O52" s="11" t="n"/>
    </row>
    <row r="53">
      <c r="A53" s="11" t="n"/>
      <c r="B53" s="11" t="n"/>
      <c r="C53" s="11" t="n"/>
      <c r="D53" s="11" t="n"/>
      <c r="E53" s="11" t="n"/>
      <c r="F53" s="11" t="n"/>
      <c r="G53" s="11" t="n"/>
      <c r="H53" s="15">
        <f>IFERROR((F53-D53)/(D53-E53),"")</f>
        <v/>
      </c>
      <c r="I53" s="11" t="n"/>
      <c r="J53" s="11" t="n"/>
      <c r="K53" s="11" t="n"/>
      <c r="L53" s="16">
        <f>IF(OR(K53="",D53="",J53=""),"",(K53-D53)*J53)</f>
        <v/>
      </c>
      <c r="M53" s="12">
        <f>IF(D53="","",IF(K53="","OPEN",IF((K53-D53)&gt;0,"WIN","LOSS")))</f>
        <v/>
      </c>
      <c r="N53" s="11" t="n"/>
      <c r="O53" s="11" t="n"/>
    </row>
    <row r="54">
      <c r="A54" s="11" t="n"/>
      <c r="B54" s="11" t="n"/>
      <c r="C54" s="11" t="n"/>
      <c r="D54" s="11" t="n"/>
      <c r="E54" s="11" t="n"/>
      <c r="F54" s="11" t="n"/>
      <c r="G54" s="11" t="n"/>
      <c r="H54" s="15">
        <f>IFERROR((F54-D54)/(D54-E54),"")</f>
        <v/>
      </c>
      <c r="I54" s="11" t="n"/>
      <c r="J54" s="11" t="n"/>
      <c r="K54" s="11" t="n"/>
      <c r="L54" s="16">
        <f>IF(OR(K54="",D54="",J54=""),"",(K54-D54)*J54)</f>
        <v/>
      </c>
      <c r="M54" s="12">
        <f>IF(D54="","",IF(K54="","OPEN",IF((K54-D54)&gt;0,"WIN","LOSS")))</f>
        <v/>
      </c>
      <c r="N54" s="11" t="n"/>
      <c r="O54" s="11" t="n"/>
    </row>
    <row r="55">
      <c r="A55" s="11" t="n"/>
      <c r="B55" s="11" t="n"/>
      <c r="C55" s="11" t="n"/>
      <c r="D55" s="11" t="n"/>
      <c r="E55" s="11" t="n"/>
      <c r="F55" s="11" t="n"/>
      <c r="G55" s="11" t="n"/>
      <c r="H55" s="15">
        <f>IFERROR((F55-D55)/(D55-E55),"")</f>
        <v/>
      </c>
      <c r="I55" s="11" t="n"/>
      <c r="J55" s="11" t="n"/>
      <c r="K55" s="11" t="n"/>
      <c r="L55" s="16">
        <f>IF(OR(K55="",D55="",J55=""),"",(K55-D55)*J55)</f>
        <v/>
      </c>
      <c r="M55" s="12">
        <f>IF(D55="","",IF(K55="","OPEN",IF((K55-D55)&gt;0,"WIN","LOSS")))</f>
        <v/>
      </c>
      <c r="N55" s="11" t="n"/>
      <c r="O55" s="11" t="n"/>
    </row>
    <row r="56">
      <c r="A56" s="11" t="n"/>
      <c r="B56" s="11" t="n"/>
      <c r="C56" s="11" t="n"/>
      <c r="D56" s="11" t="n"/>
      <c r="E56" s="11" t="n"/>
      <c r="F56" s="11" t="n"/>
      <c r="G56" s="11" t="n"/>
      <c r="H56" s="15">
        <f>IFERROR((F56-D56)/(D56-E56),"")</f>
        <v/>
      </c>
      <c r="I56" s="11" t="n"/>
      <c r="J56" s="11" t="n"/>
      <c r="K56" s="11" t="n"/>
      <c r="L56" s="16">
        <f>IF(OR(K56="",D56="",J56=""),"",(K56-D56)*J56)</f>
        <v/>
      </c>
      <c r="M56" s="12">
        <f>IF(D56="","",IF(K56="","OPEN",IF((K56-D56)&gt;0,"WIN","LOSS")))</f>
        <v/>
      </c>
      <c r="N56" s="11" t="n"/>
      <c r="O56" s="11" t="n"/>
    </row>
    <row r="57">
      <c r="A57" s="11" t="n"/>
      <c r="B57" s="11" t="n"/>
      <c r="C57" s="11" t="n"/>
      <c r="D57" s="11" t="n"/>
      <c r="E57" s="11" t="n"/>
      <c r="F57" s="11" t="n"/>
      <c r="G57" s="11" t="n"/>
      <c r="H57" s="15">
        <f>IFERROR((F57-D57)/(D57-E57),"")</f>
        <v/>
      </c>
      <c r="I57" s="11" t="n"/>
      <c r="J57" s="11" t="n"/>
      <c r="K57" s="11" t="n"/>
      <c r="L57" s="16">
        <f>IF(OR(K57="",D57="",J57=""),"",(K57-D57)*J57)</f>
        <v/>
      </c>
      <c r="M57" s="12">
        <f>IF(D57="","",IF(K57="","OPEN",IF((K57-D57)&gt;0,"WIN","LOSS")))</f>
        <v/>
      </c>
      <c r="N57" s="11" t="n"/>
      <c r="O57" s="11" t="n"/>
    </row>
    <row r="58">
      <c r="A58" s="11" t="n"/>
      <c r="B58" s="11" t="n"/>
      <c r="C58" s="11" t="n"/>
      <c r="D58" s="11" t="n"/>
      <c r="E58" s="11" t="n"/>
      <c r="F58" s="11" t="n"/>
      <c r="G58" s="11" t="n"/>
      <c r="H58" s="15">
        <f>IFERROR((F58-D58)/(D58-E58),"")</f>
        <v/>
      </c>
      <c r="I58" s="11" t="n"/>
      <c r="J58" s="11" t="n"/>
      <c r="K58" s="11" t="n"/>
      <c r="L58" s="16">
        <f>IF(OR(K58="",D58="",J58=""),"",(K58-D58)*J58)</f>
        <v/>
      </c>
      <c r="M58" s="12">
        <f>IF(D58="","",IF(K58="","OPEN",IF((K58-D58)&gt;0,"WIN","LOSS")))</f>
        <v/>
      </c>
      <c r="N58" s="11" t="n"/>
      <c r="O58" s="11" t="n"/>
    </row>
    <row r="59">
      <c r="A59" s="11" t="n"/>
      <c r="B59" s="11" t="n"/>
      <c r="C59" s="11" t="n"/>
      <c r="D59" s="11" t="n"/>
      <c r="E59" s="11" t="n"/>
      <c r="F59" s="11" t="n"/>
      <c r="G59" s="11" t="n"/>
      <c r="H59" s="15">
        <f>IFERROR((F59-D59)/(D59-E59),"")</f>
        <v/>
      </c>
      <c r="I59" s="11" t="n"/>
      <c r="J59" s="11" t="n"/>
      <c r="K59" s="11" t="n"/>
      <c r="L59" s="16">
        <f>IF(OR(K59="",D59="",J59=""),"",(K59-D59)*J59)</f>
        <v/>
      </c>
      <c r="M59" s="12">
        <f>IF(D59="","",IF(K59="","OPEN",IF((K59-D59)&gt;0,"WIN","LOSS")))</f>
        <v/>
      </c>
      <c r="N59" s="11" t="n"/>
      <c r="O59" s="11" t="n"/>
    </row>
    <row r="60">
      <c r="A60" s="11" t="n"/>
      <c r="B60" s="11" t="n"/>
      <c r="C60" s="11" t="n"/>
      <c r="D60" s="11" t="n"/>
      <c r="E60" s="11" t="n"/>
      <c r="F60" s="11" t="n"/>
      <c r="G60" s="11" t="n"/>
      <c r="H60" s="15">
        <f>IFERROR((F60-D60)/(D60-E60),"")</f>
        <v/>
      </c>
      <c r="I60" s="11" t="n"/>
      <c r="J60" s="11" t="n"/>
      <c r="K60" s="11" t="n"/>
      <c r="L60" s="16">
        <f>IF(OR(K60="",D60="",J60=""),"",(K60-D60)*J60)</f>
        <v/>
      </c>
      <c r="M60" s="12">
        <f>IF(D60="","",IF(K60="","OPEN",IF((K60-D60)&gt;0,"WIN","LOSS")))</f>
        <v/>
      </c>
      <c r="N60" s="11" t="n"/>
      <c r="O60" s="11" t="n"/>
    </row>
    <row r="61">
      <c r="A61" s="11" t="n"/>
      <c r="B61" s="11" t="n"/>
      <c r="C61" s="11" t="n"/>
      <c r="D61" s="11" t="n"/>
      <c r="E61" s="11" t="n"/>
      <c r="F61" s="11" t="n"/>
      <c r="G61" s="11" t="n"/>
      <c r="H61" s="15">
        <f>IFERROR((F61-D61)/(D61-E61),"")</f>
        <v/>
      </c>
      <c r="I61" s="11" t="n"/>
      <c r="J61" s="11" t="n"/>
      <c r="K61" s="11" t="n"/>
      <c r="L61" s="16">
        <f>IF(OR(K61="",D61="",J61=""),"",(K61-D61)*J61)</f>
        <v/>
      </c>
      <c r="M61" s="12">
        <f>IF(D61="","",IF(K61="","OPEN",IF((K61-D61)&gt;0,"WIN","LOSS")))</f>
        <v/>
      </c>
      <c r="N61" s="11" t="n"/>
      <c r="O61" s="11" t="n"/>
    </row>
    <row r="62">
      <c r="A62" s="11" t="n"/>
      <c r="B62" s="11" t="n"/>
      <c r="C62" s="11" t="n"/>
      <c r="D62" s="11" t="n"/>
      <c r="E62" s="11" t="n"/>
      <c r="F62" s="11" t="n"/>
      <c r="G62" s="11" t="n"/>
      <c r="H62" s="15">
        <f>IFERROR((F62-D62)/(D62-E62),"")</f>
        <v/>
      </c>
      <c r="I62" s="11" t="n"/>
      <c r="J62" s="11" t="n"/>
      <c r="K62" s="11" t="n"/>
      <c r="L62" s="16">
        <f>IF(OR(K62="",D62="",J62=""),"",(K62-D62)*J62)</f>
        <v/>
      </c>
      <c r="M62" s="12">
        <f>IF(D62="","",IF(K62="","OPEN",IF((K62-D62)&gt;0,"WIN","LOSS")))</f>
        <v/>
      </c>
      <c r="N62" s="11" t="n"/>
      <c r="O62" s="11" t="n"/>
    </row>
    <row r="63">
      <c r="A63" s="11" t="n"/>
      <c r="B63" s="11" t="n"/>
      <c r="C63" s="11" t="n"/>
      <c r="D63" s="11" t="n"/>
      <c r="E63" s="11" t="n"/>
      <c r="F63" s="11" t="n"/>
      <c r="G63" s="11" t="n"/>
      <c r="H63" s="15">
        <f>IFERROR((F63-D63)/(D63-E63),"")</f>
        <v/>
      </c>
      <c r="I63" s="11" t="n"/>
      <c r="J63" s="11" t="n"/>
      <c r="K63" s="11" t="n"/>
      <c r="L63" s="16">
        <f>IF(OR(K63="",D63="",J63=""),"",(K63-D63)*J63)</f>
        <v/>
      </c>
      <c r="M63" s="12">
        <f>IF(D63="","",IF(K63="","OPEN",IF((K63-D63)&gt;0,"WIN","LOSS")))</f>
        <v/>
      </c>
      <c r="N63" s="11" t="n"/>
      <c r="O63" s="11" t="n"/>
    </row>
    <row r="64">
      <c r="A64" s="11" t="n"/>
      <c r="B64" s="11" t="n"/>
      <c r="C64" s="11" t="n"/>
      <c r="D64" s="11" t="n"/>
      <c r="E64" s="11" t="n"/>
      <c r="F64" s="11" t="n"/>
      <c r="G64" s="11" t="n"/>
      <c r="H64" s="15">
        <f>IFERROR((F64-D64)/(D64-E64),"")</f>
        <v/>
      </c>
      <c r="I64" s="11" t="n"/>
      <c r="J64" s="11" t="n"/>
      <c r="K64" s="11" t="n"/>
      <c r="L64" s="16">
        <f>IF(OR(K64="",D64="",J64=""),"",(K64-D64)*J64)</f>
        <v/>
      </c>
      <c r="M64" s="12">
        <f>IF(D64="","",IF(K64="","OPEN",IF((K64-D64)&gt;0,"WIN","LOSS")))</f>
        <v/>
      </c>
      <c r="N64" s="11" t="n"/>
      <c r="O64" s="11" t="n"/>
    </row>
    <row r="65">
      <c r="A65" s="11" t="n"/>
      <c r="B65" s="11" t="n"/>
      <c r="C65" s="11" t="n"/>
      <c r="D65" s="11" t="n"/>
      <c r="E65" s="11" t="n"/>
      <c r="F65" s="11" t="n"/>
      <c r="G65" s="11" t="n"/>
      <c r="H65" s="15">
        <f>IFERROR((F65-D65)/(D65-E65),"")</f>
        <v/>
      </c>
      <c r="I65" s="11" t="n"/>
      <c r="J65" s="11" t="n"/>
      <c r="K65" s="11" t="n"/>
      <c r="L65" s="16">
        <f>IF(OR(K65="",D65="",J65=""),"",(K65-D65)*J65)</f>
        <v/>
      </c>
      <c r="M65" s="12">
        <f>IF(D65="","",IF(K65="","OPEN",IF((K65-D65)&gt;0,"WIN","LOSS")))</f>
        <v/>
      </c>
      <c r="N65" s="11" t="n"/>
      <c r="O65" s="11" t="n"/>
    </row>
    <row r="66">
      <c r="A66" s="11" t="n"/>
      <c r="B66" s="11" t="n"/>
      <c r="C66" s="11" t="n"/>
      <c r="D66" s="11" t="n"/>
      <c r="E66" s="11" t="n"/>
      <c r="F66" s="11" t="n"/>
      <c r="G66" s="11" t="n"/>
      <c r="H66" s="15">
        <f>IFERROR((F66-D66)/(D66-E66),"")</f>
        <v/>
      </c>
      <c r="I66" s="11" t="n"/>
      <c r="J66" s="11" t="n"/>
      <c r="K66" s="11" t="n"/>
      <c r="L66" s="16">
        <f>IF(OR(K66="",D66="",J66=""),"",(K66-D66)*J66)</f>
        <v/>
      </c>
      <c r="M66" s="12">
        <f>IF(D66="","",IF(K66="","OPEN",IF((K66-D66)&gt;0,"WIN","LOSS")))</f>
        <v/>
      </c>
      <c r="N66" s="11" t="n"/>
      <c r="O66" s="11" t="n"/>
    </row>
    <row r="67">
      <c r="A67" s="11" t="n"/>
      <c r="B67" s="11" t="n"/>
      <c r="C67" s="11" t="n"/>
      <c r="D67" s="11" t="n"/>
      <c r="E67" s="11" t="n"/>
      <c r="F67" s="11" t="n"/>
      <c r="G67" s="11" t="n"/>
      <c r="H67" s="15">
        <f>IFERROR((F67-D67)/(D67-E67),"")</f>
        <v/>
      </c>
      <c r="I67" s="11" t="n"/>
      <c r="J67" s="11" t="n"/>
      <c r="K67" s="11" t="n"/>
      <c r="L67" s="16">
        <f>IF(OR(K67="",D67="",J67=""),"",(K67-D67)*J67)</f>
        <v/>
      </c>
      <c r="M67" s="12">
        <f>IF(D67="","",IF(K67="","OPEN",IF((K67-D67)&gt;0,"WIN","LOSS")))</f>
        <v/>
      </c>
      <c r="N67" s="11" t="n"/>
      <c r="O67" s="11" t="n"/>
    </row>
    <row r="68">
      <c r="A68" s="11" t="n"/>
      <c r="B68" s="11" t="n"/>
      <c r="C68" s="11" t="n"/>
      <c r="D68" s="11" t="n"/>
      <c r="E68" s="11" t="n"/>
      <c r="F68" s="11" t="n"/>
      <c r="G68" s="11" t="n"/>
      <c r="H68" s="15">
        <f>IFERROR((F68-D68)/(D68-E68),"")</f>
        <v/>
      </c>
      <c r="I68" s="11" t="n"/>
      <c r="J68" s="11" t="n"/>
      <c r="K68" s="11" t="n"/>
      <c r="L68" s="16">
        <f>IF(OR(K68="",D68="",J68=""),"",(K68-D68)*J68)</f>
        <v/>
      </c>
      <c r="M68" s="12">
        <f>IF(D68="","",IF(K68="","OPEN",IF((K68-D68)&gt;0,"WIN","LOSS")))</f>
        <v/>
      </c>
      <c r="N68" s="11" t="n"/>
      <c r="O68" s="11" t="n"/>
    </row>
    <row r="69">
      <c r="A69" s="11" t="n"/>
      <c r="B69" s="11" t="n"/>
      <c r="C69" s="11" t="n"/>
      <c r="D69" s="11" t="n"/>
      <c r="E69" s="11" t="n"/>
      <c r="F69" s="11" t="n"/>
      <c r="G69" s="11" t="n"/>
      <c r="H69" s="15">
        <f>IFERROR((F69-D69)/(D69-E69),"")</f>
        <v/>
      </c>
      <c r="I69" s="11" t="n"/>
      <c r="J69" s="11" t="n"/>
      <c r="K69" s="11" t="n"/>
      <c r="L69" s="16">
        <f>IF(OR(K69="",D69="",J69=""),"",(K69-D69)*J69)</f>
        <v/>
      </c>
      <c r="M69" s="12">
        <f>IF(D69="","",IF(K69="","OPEN",IF((K69-D69)&gt;0,"WIN","LOSS")))</f>
        <v/>
      </c>
      <c r="N69" s="11" t="n"/>
      <c r="O69" s="11" t="n"/>
    </row>
    <row r="70">
      <c r="A70" s="11" t="n"/>
      <c r="B70" s="11" t="n"/>
      <c r="C70" s="11" t="n"/>
      <c r="D70" s="11" t="n"/>
      <c r="E70" s="11" t="n"/>
      <c r="F70" s="11" t="n"/>
      <c r="G70" s="11" t="n"/>
      <c r="H70" s="15">
        <f>IFERROR((F70-D70)/(D70-E70),"")</f>
        <v/>
      </c>
      <c r="I70" s="11" t="n"/>
      <c r="J70" s="11" t="n"/>
      <c r="K70" s="11" t="n"/>
      <c r="L70" s="16">
        <f>IF(OR(K70="",D70="",J70=""),"",(K70-D70)*J70)</f>
        <v/>
      </c>
      <c r="M70" s="12">
        <f>IF(D70="","",IF(K70="","OPEN",IF((K70-D70)&gt;0,"WIN","LOSS")))</f>
        <v/>
      </c>
      <c r="N70" s="11" t="n"/>
      <c r="O70" s="11" t="n"/>
    </row>
    <row r="71">
      <c r="A71" s="11" t="n"/>
      <c r="B71" s="11" t="n"/>
      <c r="C71" s="11" t="n"/>
      <c r="D71" s="11" t="n"/>
      <c r="E71" s="11" t="n"/>
      <c r="F71" s="11" t="n"/>
      <c r="G71" s="11" t="n"/>
      <c r="H71" s="15">
        <f>IFERROR((F71-D71)/(D71-E71),"")</f>
        <v/>
      </c>
      <c r="I71" s="11" t="n"/>
      <c r="J71" s="11" t="n"/>
      <c r="K71" s="11" t="n"/>
      <c r="L71" s="16">
        <f>IF(OR(K71="",D71="",J71=""),"",(K71-D71)*J71)</f>
        <v/>
      </c>
      <c r="M71" s="12">
        <f>IF(D71="","",IF(K71="","OPEN",IF((K71-D71)&gt;0,"WIN","LOSS")))</f>
        <v/>
      </c>
      <c r="N71" s="11" t="n"/>
      <c r="O71" s="11" t="n"/>
    </row>
    <row r="72">
      <c r="A72" s="11" t="n"/>
      <c r="B72" s="11" t="n"/>
      <c r="C72" s="11" t="n"/>
      <c r="D72" s="11" t="n"/>
      <c r="E72" s="11" t="n"/>
      <c r="F72" s="11" t="n"/>
      <c r="G72" s="11" t="n"/>
      <c r="H72" s="15">
        <f>IFERROR((F72-D72)/(D72-E72),"")</f>
        <v/>
      </c>
      <c r="I72" s="11" t="n"/>
      <c r="J72" s="11" t="n"/>
      <c r="K72" s="11" t="n"/>
      <c r="L72" s="16">
        <f>IF(OR(K72="",D72="",J72=""),"",(K72-D72)*J72)</f>
        <v/>
      </c>
      <c r="M72" s="12">
        <f>IF(D72="","",IF(K72="","OPEN",IF((K72-D72)&gt;0,"WIN","LOSS")))</f>
        <v/>
      </c>
      <c r="N72" s="11" t="n"/>
      <c r="O72" s="11" t="n"/>
    </row>
    <row r="73">
      <c r="A73" s="11" t="n"/>
      <c r="B73" s="11" t="n"/>
      <c r="C73" s="11" t="n"/>
      <c r="D73" s="11" t="n"/>
      <c r="E73" s="11" t="n"/>
      <c r="F73" s="11" t="n"/>
      <c r="G73" s="11" t="n"/>
      <c r="H73" s="15">
        <f>IFERROR((F73-D73)/(D73-E73),"")</f>
        <v/>
      </c>
      <c r="I73" s="11" t="n"/>
      <c r="J73" s="11" t="n"/>
      <c r="K73" s="11" t="n"/>
      <c r="L73" s="16">
        <f>IF(OR(K73="",D73="",J73=""),"",(K73-D73)*J73)</f>
        <v/>
      </c>
      <c r="M73" s="12">
        <f>IF(D73="","",IF(K73="","OPEN",IF((K73-D73)&gt;0,"WIN","LOSS")))</f>
        <v/>
      </c>
      <c r="N73" s="11" t="n"/>
      <c r="O73" s="11" t="n"/>
    </row>
    <row r="74">
      <c r="A74" s="11" t="n"/>
      <c r="B74" s="11" t="n"/>
      <c r="C74" s="11" t="n"/>
      <c r="D74" s="11" t="n"/>
      <c r="E74" s="11" t="n"/>
      <c r="F74" s="11" t="n"/>
      <c r="G74" s="11" t="n"/>
      <c r="H74" s="15">
        <f>IFERROR((F74-D74)/(D74-E74),"")</f>
        <v/>
      </c>
      <c r="I74" s="11" t="n"/>
      <c r="J74" s="11" t="n"/>
      <c r="K74" s="11" t="n"/>
      <c r="L74" s="16">
        <f>IF(OR(K74="",D74="",J74=""),"",(K74-D74)*J74)</f>
        <v/>
      </c>
      <c r="M74" s="12">
        <f>IF(D74="","",IF(K74="","OPEN",IF((K74-D74)&gt;0,"WIN","LOSS")))</f>
        <v/>
      </c>
      <c r="N74" s="11" t="n"/>
      <c r="O74" s="11" t="n"/>
    </row>
    <row r="75">
      <c r="A75" s="11" t="n"/>
      <c r="B75" s="11" t="n"/>
      <c r="C75" s="11" t="n"/>
      <c r="D75" s="11" t="n"/>
      <c r="E75" s="11" t="n"/>
      <c r="F75" s="11" t="n"/>
      <c r="G75" s="11" t="n"/>
      <c r="H75" s="15">
        <f>IFERROR((F75-D75)/(D75-E75),"")</f>
        <v/>
      </c>
      <c r="I75" s="11" t="n"/>
      <c r="J75" s="11" t="n"/>
      <c r="K75" s="11" t="n"/>
      <c r="L75" s="16">
        <f>IF(OR(K75="",D75="",J75=""),"",(K75-D75)*J75)</f>
        <v/>
      </c>
      <c r="M75" s="12">
        <f>IF(D75="","",IF(K75="","OPEN",IF((K75-D75)&gt;0,"WIN","LOSS")))</f>
        <v/>
      </c>
      <c r="N75" s="11" t="n"/>
      <c r="O75" s="11" t="n"/>
    </row>
    <row r="76">
      <c r="A76" s="11" t="n"/>
      <c r="B76" s="11" t="n"/>
      <c r="C76" s="11" t="n"/>
      <c r="D76" s="11" t="n"/>
      <c r="E76" s="11" t="n"/>
      <c r="F76" s="11" t="n"/>
      <c r="G76" s="11" t="n"/>
      <c r="H76" s="15">
        <f>IFERROR((F76-D76)/(D76-E76),"")</f>
        <v/>
      </c>
      <c r="I76" s="11" t="n"/>
      <c r="J76" s="11" t="n"/>
      <c r="K76" s="11" t="n"/>
      <c r="L76" s="16">
        <f>IF(OR(K76="",D76="",J76=""),"",(K76-D76)*J76)</f>
        <v/>
      </c>
      <c r="M76" s="12">
        <f>IF(D76="","",IF(K76="","OPEN",IF((K76-D76)&gt;0,"WIN","LOSS")))</f>
        <v/>
      </c>
      <c r="N76" s="11" t="n"/>
      <c r="O76" s="11" t="n"/>
    </row>
    <row r="77">
      <c r="A77" s="11" t="n"/>
      <c r="B77" s="11" t="n"/>
      <c r="C77" s="11" t="n"/>
      <c r="D77" s="11" t="n"/>
      <c r="E77" s="11" t="n"/>
      <c r="F77" s="11" t="n"/>
      <c r="G77" s="11" t="n"/>
      <c r="H77" s="15">
        <f>IFERROR((F77-D77)/(D77-E77),"")</f>
        <v/>
      </c>
      <c r="I77" s="11" t="n"/>
      <c r="J77" s="11" t="n"/>
      <c r="K77" s="11" t="n"/>
      <c r="L77" s="16">
        <f>IF(OR(K77="",D77="",J77=""),"",(K77-D77)*J77)</f>
        <v/>
      </c>
      <c r="M77" s="12">
        <f>IF(D77="","",IF(K77="","OPEN",IF((K77-D77)&gt;0,"WIN","LOSS")))</f>
        <v/>
      </c>
      <c r="N77" s="11" t="n"/>
      <c r="O77" s="11" t="n"/>
    </row>
    <row r="78">
      <c r="A78" s="11" t="n"/>
      <c r="B78" s="11" t="n"/>
      <c r="C78" s="11" t="n"/>
      <c r="D78" s="11" t="n"/>
      <c r="E78" s="11" t="n"/>
      <c r="F78" s="11" t="n"/>
      <c r="G78" s="11" t="n"/>
      <c r="H78" s="15">
        <f>IFERROR((F78-D78)/(D78-E78),"")</f>
        <v/>
      </c>
      <c r="I78" s="11" t="n"/>
      <c r="J78" s="11" t="n"/>
      <c r="K78" s="11" t="n"/>
      <c r="L78" s="16">
        <f>IF(OR(K78="",D78="",J78=""),"",(K78-D78)*J78)</f>
        <v/>
      </c>
      <c r="M78" s="12">
        <f>IF(D78="","",IF(K78="","OPEN",IF((K78-D78)&gt;0,"WIN","LOSS")))</f>
        <v/>
      </c>
      <c r="N78" s="11" t="n"/>
      <c r="O78" s="11" t="n"/>
    </row>
    <row r="79">
      <c r="A79" s="11" t="n"/>
      <c r="B79" s="11" t="n"/>
      <c r="C79" s="11" t="n"/>
      <c r="D79" s="11" t="n"/>
      <c r="E79" s="11" t="n"/>
      <c r="F79" s="11" t="n"/>
      <c r="G79" s="11" t="n"/>
      <c r="H79" s="15">
        <f>IFERROR((F79-D79)/(D79-E79),"")</f>
        <v/>
      </c>
      <c r="I79" s="11" t="n"/>
      <c r="J79" s="11" t="n"/>
      <c r="K79" s="11" t="n"/>
      <c r="L79" s="16">
        <f>IF(OR(K79="",D79="",J79=""),"",(K79-D79)*J79)</f>
        <v/>
      </c>
      <c r="M79" s="12">
        <f>IF(D79="","",IF(K79="","OPEN",IF((K79-D79)&gt;0,"WIN","LOSS")))</f>
        <v/>
      </c>
      <c r="N79" s="11" t="n"/>
      <c r="O79" s="11" t="n"/>
    </row>
    <row r="80">
      <c r="A80" s="11" t="n"/>
      <c r="B80" s="11" t="n"/>
      <c r="C80" s="11" t="n"/>
      <c r="D80" s="11" t="n"/>
      <c r="E80" s="11" t="n"/>
      <c r="F80" s="11" t="n"/>
      <c r="G80" s="11" t="n"/>
      <c r="H80" s="15">
        <f>IFERROR((F80-D80)/(D80-E80),"")</f>
        <v/>
      </c>
      <c r="I80" s="11" t="n"/>
      <c r="J80" s="11" t="n"/>
      <c r="K80" s="11" t="n"/>
      <c r="L80" s="16">
        <f>IF(OR(K80="",D80="",J80=""),"",(K80-D80)*J80)</f>
        <v/>
      </c>
      <c r="M80" s="12">
        <f>IF(D80="","",IF(K80="","OPEN",IF((K80-D80)&gt;0,"WIN","LOSS")))</f>
        <v/>
      </c>
      <c r="N80" s="11" t="n"/>
      <c r="O80" s="11" t="n"/>
    </row>
    <row r="81">
      <c r="A81" s="11" t="n"/>
      <c r="B81" s="11" t="n"/>
      <c r="C81" s="11" t="n"/>
      <c r="D81" s="11" t="n"/>
      <c r="E81" s="11" t="n"/>
      <c r="F81" s="11" t="n"/>
      <c r="G81" s="11" t="n"/>
      <c r="H81" s="15">
        <f>IFERROR((F81-D81)/(D81-E81),"")</f>
        <v/>
      </c>
      <c r="I81" s="11" t="n"/>
      <c r="J81" s="11" t="n"/>
      <c r="K81" s="11" t="n"/>
      <c r="L81" s="16">
        <f>IF(OR(K81="",D81="",J81=""),"",(K81-D81)*J81)</f>
        <v/>
      </c>
      <c r="M81" s="12">
        <f>IF(D81="","",IF(K81="","OPEN",IF((K81-D81)&gt;0,"WIN","LOSS")))</f>
        <v/>
      </c>
      <c r="N81" s="11" t="n"/>
      <c r="O81" s="11" t="n"/>
    </row>
    <row r="82">
      <c r="A82" s="11" t="n"/>
      <c r="B82" s="11" t="n"/>
      <c r="C82" s="11" t="n"/>
      <c r="D82" s="11" t="n"/>
      <c r="E82" s="11" t="n"/>
      <c r="F82" s="11" t="n"/>
      <c r="G82" s="11" t="n"/>
      <c r="H82" s="15">
        <f>IFERROR((F82-D82)/(D82-E82),"")</f>
        <v/>
      </c>
      <c r="I82" s="11" t="n"/>
      <c r="J82" s="11" t="n"/>
      <c r="K82" s="11" t="n"/>
      <c r="L82" s="16">
        <f>IF(OR(K82="",D82="",J82=""),"",(K82-D82)*J82)</f>
        <v/>
      </c>
      <c r="M82" s="12">
        <f>IF(D82="","",IF(K82="","OPEN",IF((K82-D82)&gt;0,"WIN","LOSS")))</f>
        <v/>
      </c>
      <c r="N82" s="11" t="n"/>
      <c r="O82" s="11" t="n"/>
    </row>
    <row r="83">
      <c r="A83" s="11" t="n"/>
      <c r="B83" s="11" t="n"/>
      <c r="C83" s="11" t="n"/>
      <c r="D83" s="11" t="n"/>
      <c r="E83" s="11" t="n"/>
      <c r="F83" s="11" t="n"/>
      <c r="G83" s="11" t="n"/>
      <c r="H83" s="15">
        <f>IFERROR((F83-D83)/(D83-E83),"")</f>
        <v/>
      </c>
      <c r="I83" s="11" t="n"/>
      <c r="J83" s="11" t="n"/>
      <c r="K83" s="11" t="n"/>
      <c r="L83" s="16">
        <f>IF(OR(K83="",D83="",J83=""),"",(K83-D83)*J83)</f>
        <v/>
      </c>
      <c r="M83" s="12">
        <f>IF(D83="","",IF(K83="","OPEN",IF((K83-D83)&gt;0,"WIN","LOSS")))</f>
        <v/>
      </c>
      <c r="N83" s="11" t="n"/>
      <c r="O83" s="11" t="n"/>
    </row>
    <row r="84">
      <c r="A84" s="11" t="n"/>
      <c r="B84" s="11" t="n"/>
      <c r="C84" s="11" t="n"/>
      <c r="D84" s="11" t="n"/>
      <c r="E84" s="11" t="n"/>
      <c r="F84" s="11" t="n"/>
      <c r="G84" s="11" t="n"/>
      <c r="H84" s="15">
        <f>IFERROR((F84-D84)/(D84-E84),"")</f>
        <v/>
      </c>
      <c r="I84" s="11" t="n"/>
      <c r="J84" s="11" t="n"/>
      <c r="K84" s="11" t="n"/>
      <c r="L84" s="16">
        <f>IF(OR(K84="",D84="",J84=""),"",(K84-D84)*J84)</f>
        <v/>
      </c>
      <c r="M84" s="12">
        <f>IF(D84="","",IF(K84="","OPEN",IF((K84-D84)&gt;0,"WIN","LOSS")))</f>
        <v/>
      </c>
      <c r="N84" s="11" t="n"/>
      <c r="O84" s="11" t="n"/>
    </row>
    <row r="85">
      <c r="A85" s="11" t="n"/>
      <c r="B85" s="11" t="n"/>
      <c r="C85" s="11" t="n"/>
      <c r="D85" s="11" t="n"/>
      <c r="E85" s="11" t="n"/>
      <c r="F85" s="11" t="n"/>
      <c r="G85" s="11" t="n"/>
      <c r="H85" s="15">
        <f>IFERROR((F85-D85)/(D85-E85),"")</f>
        <v/>
      </c>
      <c r="I85" s="11" t="n"/>
      <c r="J85" s="11" t="n"/>
      <c r="K85" s="11" t="n"/>
      <c r="L85" s="16">
        <f>IF(OR(K85="",D85="",J85=""),"",(K85-D85)*J85)</f>
        <v/>
      </c>
      <c r="M85" s="12">
        <f>IF(D85="","",IF(K85="","OPEN",IF((K85-D85)&gt;0,"WIN","LOSS")))</f>
        <v/>
      </c>
      <c r="N85" s="11" t="n"/>
      <c r="O85" s="11" t="n"/>
    </row>
    <row r="86">
      <c r="A86" s="11" t="n"/>
      <c r="B86" s="11" t="n"/>
      <c r="C86" s="11" t="n"/>
      <c r="D86" s="11" t="n"/>
      <c r="E86" s="11" t="n"/>
      <c r="F86" s="11" t="n"/>
      <c r="G86" s="11" t="n"/>
      <c r="H86" s="15">
        <f>IFERROR((F86-D86)/(D86-E86),"")</f>
        <v/>
      </c>
      <c r="I86" s="11" t="n"/>
      <c r="J86" s="11" t="n"/>
      <c r="K86" s="11" t="n"/>
      <c r="L86" s="16">
        <f>IF(OR(K86="",D86="",J86=""),"",(K86-D86)*J86)</f>
        <v/>
      </c>
      <c r="M86" s="12">
        <f>IF(D86="","",IF(K86="","OPEN",IF((K86-D86)&gt;0,"WIN","LOSS")))</f>
        <v/>
      </c>
      <c r="N86" s="11" t="n"/>
      <c r="O86" s="11" t="n"/>
    </row>
    <row r="87">
      <c r="A87" s="11" t="n"/>
      <c r="B87" s="11" t="n"/>
      <c r="C87" s="11" t="n"/>
      <c r="D87" s="11" t="n"/>
      <c r="E87" s="11" t="n"/>
      <c r="F87" s="11" t="n"/>
      <c r="G87" s="11" t="n"/>
      <c r="H87" s="15">
        <f>IFERROR((F87-D87)/(D87-E87),"")</f>
        <v/>
      </c>
      <c r="I87" s="11" t="n"/>
      <c r="J87" s="11" t="n"/>
      <c r="K87" s="11" t="n"/>
      <c r="L87" s="16">
        <f>IF(OR(K87="",D87="",J87=""),"",(K87-D87)*J87)</f>
        <v/>
      </c>
      <c r="M87" s="12">
        <f>IF(D87="","",IF(K87="","OPEN",IF((K87-D87)&gt;0,"WIN","LOSS")))</f>
        <v/>
      </c>
      <c r="N87" s="11" t="n"/>
      <c r="O87" s="11" t="n"/>
    </row>
    <row r="88">
      <c r="A88" s="11" t="n"/>
      <c r="B88" s="11" t="n"/>
      <c r="C88" s="11" t="n"/>
      <c r="D88" s="11" t="n"/>
      <c r="E88" s="11" t="n"/>
      <c r="F88" s="11" t="n"/>
      <c r="G88" s="11" t="n"/>
      <c r="H88" s="15">
        <f>IFERROR((F88-D88)/(D88-E88),"")</f>
        <v/>
      </c>
      <c r="I88" s="11" t="n"/>
      <c r="J88" s="11" t="n"/>
      <c r="K88" s="11" t="n"/>
      <c r="L88" s="16">
        <f>IF(OR(K88="",D88="",J88=""),"",(K88-D88)*J88)</f>
        <v/>
      </c>
      <c r="M88" s="12">
        <f>IF(D88="","",IF(K88="","OPEN",IF((K88-D88)&gt;0,"WIN","LOSS")))</f>
        <v/>
      </c>
      <c r="N88" s="11" t="n"/>
      <c r="O88" s="11" t="n"/>
    </row>
    <row r="89">
      <c r="A89" s="11" t="n"/>
      <c r="B89" s="11" t="n"/>
      <c r="C89" s="11" t="n"/>
      <c r="D89" s="11" t="n"/>
      <c r="E89" s="11" t="n"/>
      <c r="F89" s="11" t="n"/>
      <c r="G89" s="11" t="n"/>
      <c r="H89" s="15">
        <f>IFERROR((F89-D89)/(D89-E89),"")</f>
        <v/>
      </c>
      <c r="I89" s="11" t="n"/>
      <c r="J89" s="11" t="n"/>
      <c r="K89" s="11" t="n"/>
      <c r="L89" s="16">
        <f>IF(OR(K89="",D89="",J89=""),"",(K89-D89)*J89)</f>
        <v/>
      </c>
      <c r="M89" s="12">
        <f>IF(D89="","",IF(K89="","OPEN",IF((K89-D89)&gt;0,"WIN","LOSS")))</f>
        <v/>
      </c>
      <c r="N89" s="11" t="n"/>
      <c r="O89" s="11" t="n"/>
    </row>
    <row r="90">
      <c r="A90" s="11" t="n"/>
      <c r="B90" s="11" t="n"/>
      <c r="C90" s="11" t="n"/>
      <c r="D90" s="11" t="n"/>
      <c r="E90" s="11" t="n"/>
      <c r="F90" s="11" t="n"/>
      <c r="G90" s="11" t="n"/>
      <c r="H90" s="15">
        <f>IFERROR((F90-D90)/(D90-E90),"")</f>
        <v/>
      </c>
      <c r="I90" s="11" t="n"/>
      <c r="J90" s="11" t="n"/>
      <c r="K90" s="11" t="n"/>
      <c r="L90" s="16">
        <f>IF(OR(K90="",D90="",J90=""),"",(K90-D90)*J90)</f>
        <v/>
      </c>
      <c r="M90" s="12">
        <f>IF(D90="","",IF(K90="","OPEN",IF((K90-D90)&gt;0,"WIN","LOSS")))</f>
        <v/>
      </c>
      <c r="N90" s="11" t="n"/>
      <c r="O90" s="11" t="n"/>
    </row>
    <row r="91">
      <c r="A91" s="11" t="n"/>
      <c r="B91" s="11" t="n"/>
      <c r="C91" s="11" t="n"/>
      <c r="D91" s="11" t="n"/>
      <c r="E91" s="11" t="n"/>
      <c r="F91" s="11" t="n"/>
      <c r="G91" s="11" t="n"/>
      <c r="H91" s="15">
        <f>IFERROR((F91-D91)/(D91-E91),"")</f>
        <v/>
      </c>
      <c r="I91" s="11" t="n"/>
      <c r="J91" s="11" t="n"/>
      <c r="K91" s="11" t="n"/>
      <c r="L91" s="16">
        <f>IF(OR(K91="",D91="",J91=""),"",(K91-D91)*J91)</f>
        <v/>
      </c>
      <c r="M91" s="12">
        <f>IF(D91="","",IF(K91="","OPEN",IF((K91-D91)&gt;0,"WIN","LOSS")))</f>
        <v/>
      </c>
      <c r="N91" s="11" t="n"/>
      <c r="O91" s="11" t="n"/>
    </row>
    <row r="92">
      <c r="A92" s="11" t="n"/>
      <c r="B92" s="11" t="n"/>
      <c r="C92" s="11" t="n"/>
      <c r="D92" s="11" t="n"/>
      <c r="E92" s="11" t="n"/>
      <c r="F92" s="11" t="n"/>
      <c r="G92" s="11" t="n"/>
      <c r="H92" s="15">
        <f>IFERROR((F92-D92)/(D92-E92),"")</f>
        <v/>
      </c>
      <c r="I92" s="11" t="n"/>
      <c r="J92" s="11" t="n"/>
      <c r="K92" s="11" t="n"/>
      <c r="L92" s="16">
        <f>IF(OR(K92="",D92="",J92=""),"",(K92-D92)*J92)</f>
        <v/>
      </c>
      <c r="M92" s="12">
        <f>IF(D92="","",IF(K92="","OPEN",IF((K92-D92)&gt;0,"WIN","LOSS")))</f>
        <v/>
      </c>
      <c r="N92" s="11" t="n"/>
      <c r="O92" s="11" t="n"/>
    </row>
    <row r="93">
      <c r="A93" s="11" t="n"/>
      <c r="B93" s="11" t="n"/>
      <c r="C93" s="11" t="n"/>
      <c r="D93" s="11" t="n"/>
      <c r="E93" s="11" t="n"/>
      <c r="F93" s="11" t="n"/>
      <c r="G93" s="11" t="n"/>
      <c r="H93" s="15">
        <f>IFERROR((F93-D93)/(D93-E93),"")</f>
        <v/>
      </c>
      <c r="I93" s="11" t="n"/>
      <c r="J93" s="11" t="n"/>
      <c r="K93" s="11" t="n"/>
      <c r="L93" s="16">
        <f>IF(OR(K93="",D93="",J93=""),"",(K93-D93)*J93)</f>
        <v/>
      </c>
      <c r="M93" s="12">
        <f>IF(D93="","",IF(K93="","OPEN",IF((K93-D93)&gt;0,"WIN","LOSS")))</f>
        <v/>
      </c>
      <c r="N93" s="11" t="n"/>
      <c r="O93" s="11" t="n"/>
    </row>
    <row r="94">
      <c r="A94" s="11" t="n"/>
      <c r="B94" s="11" t="n"/>
      <c r="C94" s="11" t="n"/>
      <c r="D94" s="11" t="n"/>
      <c r="E94" s="11" t="n"/>
      <c r="F94" s="11" t="n"/>
      <c r="G94" s="11" t="n"/>
      <c r="H94" s="15">
        <f>IFERROR((F94-D94)/(D94-E94),"")</f>
        <v/>
      </c>
      <c r="I94" s="11" t="n"/>
      <c r="J94" s="11" t="n"/>
      <c r="K94" s="11" t="n"/>
      <c r="L94" s="16">
        <f>IF(OR(K94="",D94="",J94=""),"",(K94-D94)*J94)</f>
        <v/>
      </c>
      <c r="M94" s="12">
        <f>IF(D94="","",IF(K94="","OPEN",IF((K94-D94)&gt;0,"WIN","LOSS")))</f>
        <v/>
      </c>
      <c r="N94" s="11" t="n"/>
      <c r="O94" s="11" t="n"/>
    </row>
    <row r="95">
      <c r="A95" s="11" t="n"/>
      <c r="B95" s="11" t="n"/>
      <c r="C95" s="11" t="n"/>
      <c r="D95" s="11" t="n"/>
      <c r="E95" s="11" t="n"/>
      <c r="F95" s="11" t="n"/>
      <c r="G95" s="11" t="n"/>
      <c r="H95" s="15">
        <f>IFERROR((F95-D95)/(D95-E95),"")</f>
        <v/>
      </c>
      <c r="I95" s="11" t="n"/>
      <c r="J95" s="11" t="n"/>
      <c r="K95" s="11" t="n"/>
      <c r="L95" s="16">
        <f>IF(OR(K95="",D95="",J95=""),"",(K95-D95)*J95)</f>
        <v/>
      </c>
      <c r="M95" s="12">
        <f>IF(D95="","",IF(K95="","OPEN",IF((K95-D95)&gt;0,"WIN","LOSS")))</f>
        <v/>
      </c>
      <c r="N95" s="11" t="n"/>
      <c r="O95" s="11" t="n"/>
    </row>
    <row r="96">
      <c r="A96" s="11" t="n"/>
      <c r="B96" s="11" t="n"/>
      <c r="C96" s="11" t="n"/>
      <c r="D96" s="11" t="n"/>
      <c r="E96" s="11" t="n"/>
      <c r="F96" s="11" t="n"/>
      <c r="G96" s="11" t="n"/>
      <c r="H96" s="15">
        <f>IFERROR((F96-D96)/(D96-E96),"")</f>
        <v/>
      </c>
      <c r="I96" s="11" t="n"/>
      <c r="J96" s="11" t="n"/>
      <c r="K96" s="11" t="n"/>
      <c r="L96" s="16">
        <f>IF(OR(K96="",D96="",J96=""),"",(K96-D96)*J96)</f>
        <v/>
      </c>
      <c r="M96" s="12">
        <f>IF(D96="","",IF(K96="","OPEN",IF((K96-D96)&gt;0,"WIN","LOSS")))</f>
        <v/>
      </c>
      <c r="N96" s="11" t="n"/>
      <c r="O96" s="11" t="n"/>
    </row>
    <row r="97">
      <c r="A97" s="11" t="n"/>
      <c r="B97" s="11" t="n"/>
      <c r="C97" s="11" t="n"/>
      <c r="D97" s="11" t="n"/>
      <c r="E97" s="11" t="n"/>
      <c r="F97" s="11" t="n"/>
      <c r="G97" s="11" t="n"/>
      <c r="H97" s="15">
        <f>IFERROR((F97-D97)/(D97-E97),"")</f>
        <v/>
      </c>
      <c r="I97" s="11" t="n"/>
      <c r="J97" s="11" t="n"/>
      <c r="K97" s="11" t="n"/>
      <c r="L97" s="16">
        <f>IF(OR(K97="",D97="",J97=""),"",(K97-D97)*J97)</f>
        <v/>
      </c>
      <c r="M97" s="12">
        <f>IF(D97="","",IF(K97="","OPEN",IF((K97-D97)&gt;0,"WIN","LOSS")))</f>
        <v/>
      </c>
      <c r="N97" s="11" t="n"/>
      <c r="O97" s="11" t="n"/>
    </row>
    <row r="98">
      <c r="A98" s="11" t="n"/>
      <c r="B98" s="11" t="n"/>
      <c r="C98" s="11" t="n"/>
      <c r="D98" s="11" t="n"/>
      <c r="E98" s="11" t="n"/>
      <c r="F98" s="11" t="n"/>
      <c r="G98" s="11" t="n"/>
      <c r="H98" s="15">
        <f>IFERROR((F98-D98)/(D98-E98),"")</f>
        <v/>
      </c>
      <c r="I98" s="11" t="n"/>
      <c r="J98" s="11" t="n"/>
      <c r="K98" s="11" t="n"/>
      <c r="L98" s="16">
        <f>IF(OR(K98="",D98="",J98=""),"",(K98-D98)*J98)</f>
        <v/>
      </c>
      <c r="M98" s="12">
        <f>IF(D98="","",IF(K98="","OPEN",IF((K98-D98)&gt;0,"WIN","LOSS")))</f>
        <v/>
      </c>
      <c r="N98" s="11" t="n"/>
      <c r="O98" s="11" t="n"/>
    </row>
    <row r="99">
      <c r="A99" s="11" t="n"/>
      <c r="B99" s="11" t="n"/>
      <c r="C99" s="11" t="n"/>
      <c r="D99" s="11" t="n"/>
      <c r="E99" s="11" t="n"/>
      <c r="F99" s="11" t="n"/>
      <c r="G99" s="11" t="n"/>
      <c r="H99" s="15">
        <f>IFERROR((F99-D99)/(D99-E99),"")</f>
        <v/>
      </c>
      <c r="I99" s="11" t="n"/>
      <c r="J99" s="11" t="n"/>
      <c r="K99" s="11" t="n"/>
      <c r="L99" s="16">
        <f>IF(OR(K99="",D99="",J99=""),"",(K99-D99)*J99)</f>
        <v/>
      </c>
      <c r="M99" s="12">
        <f>IF(D99="","",IF(K99="","OPEN",IF((K99-D99)&gt;0,"WIN","LOSS")))</f>
        <v/>
      </c>
      <c r="N99" s="11" t="n"/>
      <c r="O99" s="11" t="n"/>
    </row>
    <row r="100">
      <c r="A100" s="11" t="n"/>
      <c r="B100" s="11" t="n"/>
      <c r="C100" s="11" t="n"/>
      <c r="D100" s="11" t="n"/>
      <c r="E100" s="11" t="n"/>
      <c r="F100" s="11" t="n"/>
      <c r="G100" s="11" t="n"/>
      <c r="H100" s="15">
        <f>IFERROR((F100-D100)/(D100-E100),"")</f>
        <v/>
      </c>
      <c r="I100" s="11" t="n"/>
      <c r="J100" s="11" t="n"/>
      <c r="K100" s="11" t="n"/>
      <c r="L100" s="16">
        <f>IF(OR(K100="",D100="",J100=""),"",(K100-D100)*J100)</f>
        <v/>
      </c>
      <c r="M100" s="12">
        <f>IF(D100="","",IF(K100="","OPEN",IF((K100-D100)&gt;0,"WIN","LOSS")))</f>
        <v/>
      </c>
      <c r="N100" s="11" t="n"/>
      <c r="O100" s="11" t="n"/>
    </row>
    <row r="101">
      <c r="A101" s="11" t="n"/>
      <c r="B101" s="11" t="n"/>
      <c r="C101" s="11" t="n"/>
      <c r="D101" s="11" t="n"/>
      <c r="E101" s="11" t="n"/>
      <c r="F101" s="11" t="n"/>
      <c r="G101" s="11" t="n"/>
      <c r="H101" s="15">
        <f>IFERROR((F101-D101)/(D101-E101),"")</f>
        <v/>
      </c>
      <c r="I101" s="11" t="n"/>
      <c r="J101" s="11" t="n"/>
      <c r="K101" s="11" t="n"/>
      <c r="L101" s="16">
        <f>IF(OR(K101="",D101="",J101=""),"",(K101-D101)*J101)</f>
        <v/>
      </c>
      <c r="M101" s="12">
        <f>IF(D101="","",IF(K101="","OPEN",IF((K101-D101)&gt;0,"WIN","LOSS")))</f>
        <v/>
      </c>
      <c r="N101" s="11" t="n"/>
      <c r="O101" s="11" t="n"/>
    </row>
    <row r="102">
      <c r="A102" s="11" t="n"/>
      <c r="B102" s="11" t="n"/>
      <c r="C102" s="11" t="n"/>
      <c r="D102" s="11" t="n"/>
      <c r="E102" s="11" t="n"/>
      <c r="F102" s="11" t="n"/>
      <c r="G102" s="11" t="n"/>
      <c r="H102" s="15">
        <f>IFERROR((F102-D102)/(D102-E102),"")</f>
        <v/>
      </c>
      <c r="I102" s="11" t="n"/>
      <c r="J102" s="11" t="n"/>
      <c r="K102" s="11" t="n"/>
      <c r="L102" s="16">
        <f>IF(OR(K102="",D102="",J102=""),"",(K102-D102)*J102)</f>
        <v/>
      </c>
      <c r="M102" s="12">
        <f>IF(D102="","",IF(K102="","OPEN",IF((K102-D102)&gt;0,"WIN","LOSS")))</f>
        <v/>
      </c>
      <c r="N102" s="11" t="n"/>
      <c r="O102" s="11" t="n"/>
    </row>
    <row r="103">
      <c r="A103" s="11" t="n"/>
      <c r="B103" s="11" t="n"/>
      <c r="C103" s="11" t="n"/>
      <c r="D103" s="11" t="n"/>
      <c r="E103" s="11" t="n"/>
      <c r="F103" s="11" t="n"/>
      <c r="G103" s="11" t="n"/>
      <c r="H103" s="15">
        <f>IFERROR((F103-D103)/(D103-E103),"")</f>
        <v/>
      </c>
      <c r="I103" s="11" t="n"/>
      <c r="J103" s="11" t="n"/>
      <c r="K103" s="11" t="n"/>
      <c r="L103" s="16">
        <f>IF(OR(K103="",D103="",J103=""),"",(K103-D103)*J103)</f>
        <v/>
      </c>
      <c r="M103" s="12">
        <f>IF(D103="","",IF(K103="","OPEN",IF((K103-D103)&gt;0,"WIN","LOSS")))</f>
        <v/>
      </c>
      <c r="N103" s="11" t="n"/>
      <c r="O103" s="11" t="n"/>
    </row>
    <row r="104">
      <c r="A104" s="11" t="n"/>
      <c r="B104" s="11" t="n"/>
      <c r="C104" s="11" t="n"/>
      <c r="D104" s="11" t="n"/>
      <c r="E104" s="11" t="n"/>
      <c r="F104" s="11" t="n"/>
      <c r="G104" s="11" t="n"/>
      <c r="H104" s="15">
        <f>IFERROR((F104-D104)/(D104-E104),"")</f>
        <v/>
      </c>
      <c r="I104" s="11" t="n"/>
      <c r="J104" s="11" t="n"/>
      <c r="K104" s="11" t="n"/>
      <c r="L104" s="16">
        <f>IF(OR(K104="",D104="",J104=""),"",(K104-D104)*J104)</f>
        <v/>
      </c>
      <c r="M104" s="12">
        <f>IF(D104="","",IF(K104="","OPEN",IF((K104-D104)&gt;0,"WIN","LOSS")))</f>
        <v/>
      </c>
      <c r="N104" s="11" t="n"/>
      <c r="O104" s="11" t="n"/>
    </row>
    <row r="105">
      <c r="A105" s="11" t="n"/>
      <c r="B105" s="11" t="n"/>
      <c r="C105" s="11" t="n"/>
      <c r="D105" s="11" t="n"/>
      <c r="E105" s="11" t="n"/>
      <c r="F105" s="11" t="n"/>
      <c r="G105" s="11" t="n"/>
      <c r="H105" s="15">
        <f>IFERROR((F105-D105)/(D105-E105),"")</f>
        <v/>
      </c>
      <c r="I105" s="11" t="n"/>
      <c r="J105" s="11" t="n"/>
      <c r="K105" s="11" t="n"/>
      <c r="L105" s="16">
        <f>IF(OR(K105="",D105="",J105=""),"",(K105-D105)*J105)</f>
        <v/>
      </c>
      <c r="M105" s="12">
        <f>IF(D105="","",IF(K105="","OPEN",IF((K105-D105)&gt;0,"WIN","LOSS")))</f>
        <v/>
      </c>
      <c r="N105" s="11" t="n"/>
      <c r="O105" s="11" t="n"/>
    </row>
    <row r="106">
      <c r="A106" s="11" t="n"/>
      <c r="B106" s="11" t="n"/>
      <c r="C106" s="11" t="n"/>
      <c r="D106" s="11" t="n"/>
      <c r="E106" s="11" t="n"/>
      <c r="F106" s="11" t="n"/>
      <c r="G106" s="11" t="n"/>
      <c r="H106" s="15">
        <f>IFERROR((F106-D106)/(D106-E106),"")</f>
        <v/>
      </c>
      <c r="I106" s="11" t="n"/>
      <c r="J106" s="11" t="n"/>
      <c r="K106" s="11" t="n"/>
      <c r="L106" s="16">
        <f>IF(OR(K106="",D106="",J106=""),"",(K106-D106)*J106)</f>
        <v/>
      </c>
      <c r="M106" s="12">
        <f>IF(D106="","",IF(K106="","OPEN",IF((K106-D106)&gt;0,"WIN","LOSS")))</f>
        <v/>
      </c>
      <c r="N106" s="11" t="n"/>
      <c r="O106" s="11" t="n"/>
    </row>
    <row r="107">
      <c r="A107" s="11" t="n"/>
      <c r="B107" s="11" t="n"/>
      <c r="C107" s="11" t="n"/>
      <c r="D107" s="11" t="n"/>
      <c r="E107" s="11" t="n"/>
      <c r="F107" s="11" t="n"/>
      <c r="G107" s="11" t="n"/>
      <c r="H107" s="15">
        <f>IFERROR((F107-D107)/(D107-E107),"")</f>
        <v/>
      </c>
      <c r="I107" s="11" t="n"/>
      <c r="J107" s="11" t="n"/>
      <c r="K107" s="11" t="n"/>
      <c r="L107" s="16">
        <f>IF(OR(K107="",D107="",J107=""),"",(K107-D107)*J107)</f>
        <v/>
      </c>
      <c r="M107" s="12">
        <f>IF(D107="","",IF(K107="","OPEN",IF((K107-D107)&gt;0,"WIN","LOSS")))</f>
        <v/>
      </c>
      <c r="N107" s="11" t="n"/>
      <c r="O107" s="11" t="n"/>
    </row>
    <row r="108">
      <c r="A108" s="11" t="n"/>
      <c r="B108" s="11" t="n"/>
      <c r="C108" s="11" t="n"/>
      <c r="D108" s="11" t="n"/>
      <c r="E108" s="11" t="n"/>
      <c r="F108" s="11" t="n"/>
      <c r="G108" s="11" t="n"/>
      <c r="H108" s="15">
        <f>IFERROR((F108-D108)/(D108-E108),"")</f>
        <v/>
      </c>
      <c r="I108" s="11" t="n"/>
      <c r="J108" s="11" t="n"/>
      <c r="K108" s="11" t="n"/>
      <c r="L108" s="16">
        <f>IF(OR(K108="",D108="",J108=""),"",(K108-D108)*J108)</f>
        <v/>
      </c>
      <c r="M108" s="12">
        <f>IF(D108="","",IF(K108="","OPEN",IF((K108-D108)&gt;0,"WIN","LOSS")))</f>
        <v/>
      </c>
      <c r="N108" s="11" t="n"/>
      <c r="O108" s="11" t="n"/>
    </row>
    <row r="109">
      <c r="A109" s="11" t="n"/>
      <c r="B109" s="11" t="n"/>
      <c r="C109" s="11" t="n"/>
      <c r="D109" s="11" t="n"/>
      <c r="E109" s="11" t="n"/>
      <c r="F109" s="11" t="n"/>
      <c r="G109" s="11" t="n"/>
      <c r="H109" s="15">
        <f>IFERROR((F109-D109)/(D109-E109),"")</f>
        <v/>
      </c>
      <c r="I109" s="11" t="n"/>
      <c r="J109" s="11" t="n"/>
      <c r="K109" s="11" t="n"/>
      <c r="L109" s="16">
        <f>IF(OR(K109="",D109="",J109=""),"",(K109-D109)*J109)</f>
        <v/>
      </c>
      <c r="M109" s="12">
        <f>IF(D109="","",IF(K109="","OPEN",IF((K109-D109)&gt;0,"WIN","LOSS")))</f>
        <v/>
      </c>
      <c r="N109" s="11" t="n"/>
      <c r="O109" s="11" t="n"/>
    </row>
    <row r="110">
      <c r="A110" s="11" t="n"/>
      <c r="B110" s="11" t="n"/>
      <c r="C110" s="11" t="n"/>
      <c r="D110" s="11" t="n"/>
      <c r="E110" s="11" t="n"/>
      <c r="F110" s="11" t="n"/>
      <c r="G110" s="11" t="n"/>
      <c r="H110" s="15">
        <f>IFERROR((F110-D110)/(D110-E110),"")</f>
        <v/>
      </c>
      <c r="I110" s="11" t="n"/>
      <c r="J110" s="11" t="n"/>
      <c r="K110" s="11" t="n"/>
      <c r="L110" s="16">
        <f>IF(OR(K110="",D110="",J110=""),"",(K110-D110)*J110)</f>
        <v/>
      </c>
      <c r="M110" s="12">
        <f>IF(D110="","",IF(K110="","OPEN",IF((K110-D110)&gt;0,"WIN","LOSS")))</f>
        <v/>
      </c>
      <c r="N110" s="11" t="n"/>
      <c r="O110" s="11" t="n"/>
    </row>
    <row r="111">
      <c r="A111" s="11" t="n"/>
      <c r="B111" s="11" t="n"/>
      <c r="C111" s="11" t="n"/>
      <c r="D111" s="11" t="n"/>
      <c r="E111" s="11" t="n"/>
      <c r="F111" s="11" t="n"/>
      <c r="G111" s="11" t="n"/>
      <c r="H111" s="15">
        <f>IFERROR((F111-D111)/(D111-E111),"")</f>
        <v/>
      </c>
      <c r="I111" s="11" t="n"/>
      <c r="J111" s="11" t="n"/>
      <c r="K111" s="11" t="n"/>
      <c r="L111" s="16">
        <f>IF(OR(K111="",D111="",J111=""),"",(K111-D111)*J111)</f>
        <v/>
      </c>
      <c r="M111" s="12">
        <f>IF(D111="","",IF(K111="","OPEN",IF((K111-D111)&gt;0,"WIN","LOSS")))</f>
        <v/>
      </c>
      <c r="N111" s="11" t="n"/>
      <c r="O111" s="11" t="n"/>
    </row>
    <row r="112">
      <c r="A112" s="11" t="n"/>
      <c r="B112" s="11" t="n"/>
      <c r="C112" s="11" t="n"/>
      <c r="D112" s="11" t="n"/>
      <c r="E112" s="11" t="n"/>
      <c r="F112" s="11" t="n"/>
      <c r="G112" s="11" t="n"/>
      <c r="H112" s="15">
        <f>IFERROR((F112-D112)/(D112-E112),"")</f>
        <v/>
      </c>
      <c r="I112" s="11" t="n"/>
      <c r="J112" s="11" t="n"/>
      <c r="K112" s="11" t="n"/>
      <c r="L112" s="16">
        <f>IF(OR(K112="",D112="",J112=""),"",(K112-D112)*J112)</f>
        <v/>
      </c>
      <c r="M112" s="12">
        <f>IF(D112="","",IF(K112="","OPEN",IF((K112-D112)&gt;0,"WIN","LOSS")))</f>
        <v/>
      </c>
      <c r="N112" s="11" t="n"/>
      <c r="O112" s="11" t="n"/>
    </row>
    <row r="113">
      <c r="A113" s="11" t="n"/>
      <c r="B113" s="11" t="n"/>
      <c r="C113" s="11" t="n"/>
      <c r="D113" s="11" t="n"/>
      <c r="E113" s="11" t="n"/>
      <c r="F113" s="11" t="n"/>
      <c r="G113" s="11" t="n"/>
      <c r="H113" s="15">
        <f>IFERROR((F113-D113)/(D113-E113),"")</f>
        <v/>
      </c>
      <c r="I113" s="11" t="n"/>
      <c r="J113" s="11" t="n"/>
      <c r="K113" s="11" t="n"/>
      <c r="L113" s="16">
        <f>IF(OR(K113="",D113="",J113=""),"",(K113-D113)*J113)</f>
        <v/>
      </c>
      <c r="M113" s="12">
        <f>IF(D113="","",IF(K113="","OPEN",IF((K113-D113)&gt;0,"WIN","LOSS")))</f>
        <v/>
      </c>
      <c r="N113" s="11" t="n"/>
      <c r="O113" s="11" t="n"/>
    </row>
    <row r="114">
      <c r="A114" s="11" t="n"/>
      <c r="B114" s="11" t="n"/>
      <c r="C114" s="11" t="n"/>
      <c r="D114" s="11" t="n"/>
      <c r="E114" s="11" t="n"/>
      <c r="F114" s="11" t="n"/>
      <c r="G114" s="11" t="n"/>
      <c r="H114" s="15">
        <f>IFERROR((F114-D114)/(D114-E114),"")</f>
        <v/>
      </c>
      <c r="I114" s="11" t="n"/>
      <c r="J114" s="11" t="n"/>
      <c r="K114" s="11" t="n"/>
      <c r="L114" s="16">
        <f>IF(OR(K114="",D114="",J114=""),"",(K114-D114)*J114)</f>
        <v/>
      </c>
      <c r="M114" s="12">
        <f>IF(D114="","",IF(K114="","OPEN",IF((K114-D114)&gt;0,"WIN","LOSS")))</f>
        <v/>
      </c>
      <c r="N114" s="11" t="n"/>
      <c r="O114" s="11" t="n"/>
    </row>
    <row r="115">
      <c r="A115" s="11" t="n"/>
      <c r="B115" s="11" t="n"/>
      <c r="C115" s="11" t="n"/>
      <c r="D115" s="11" t="n"/>
      <c r="E115" s="11" t="n"/>
      <c r="F115" s="11" t="n"/>
      <c r="G115" s="11" t="n"/>
      <c r="H115" s="15">
        <f>IFERROR((F115-D115)/(D115-E115),"")</f>
        <v/>
      </c>
      <c r="I115" s="11" t="n"/>
      <c r="J115" s="11" t="n"/>
      <c r="K115" s="11" t="n"/>
      <c r="L115" s="16">
        <f>IF(OR(K115="",D115="",J115=""),"",(K115-D115)*J115)</f>
        <v/>
      </c>
      <c r="M115" s="12">
        <f>IF(D115="","",IF(K115="","OPEN",IF((K115-D115)&gt;0,"WIN","LOSS")))</f>
        <v/>
      </c>
      <c r="N115" s="11" t="n"/>
      <c r="O115" s="11" t="n"/>
    </row>
    <row r="116">
      <c r="A116" s="11" t="n"/>
      <c r="B116" s="11" t="n"/>
      <c r="C116" s="11" t="n"/>
      <c r="D116" s="11" t="n"/>
      <c r="E116" s="11" t="n"/>
      <c r="F116" s="11" t="n"/>
      <c r="G116" s="11" t="n"/>
      <c r="H116" s="15">
        <f>IFERROR((F116-D116)/(D116-E116),"")</f>
        <v/>
      </c>
      <c r="I116" s="11" t="n"/>
      <c r="J116" s="11" t="n"/>
      <c r="K116" s="11" t="n"/>
      <c r="L116" s="16">
        <f>IF(OR(K116="",D116="",J116=""),"",(K116-D116)*J116)</f>
        <v/>
      </c>
      <c r="M116" s="12">
        <f>IF(D116="","",IF(K116="","OPEN",IF((K116-D116)&gt;0,"WIN","LOSS")))</f>
        <v/>
      </c>
      <c r="N116" s="11" t="n"/>
      <c r="O116" s="11" t="n"/>
    </row>
    <row r="117">
      <c r="A117" s="11" t="n"/>
      <c r="B117" s="11" t="n"/>
      <c r="C117" s="11" t="n"/>
      <c r="D117" s="11" t="n"/>
      <c r="E117" s="11" t="n"/>
      <c r="F117" s="11" t="n"/>
      <c r="G117" s="11" t="n"/>
      <c r="H117" s="15">
        <f>IFERROR((F117-D117)/(D117-E117),"")</f>
        <v/>
      </c>
      <c r="I117" s="11" t="n"/>
      <c r="J117" s="11" t="n"/>
      <c r="K117" s="11" t="n"/>
      <c r="L117" s="16">
        <f>IF(OR(K117="",D117="",J117=""),"",(K117-D117)*J117)</f>
        <v/>
      </c>
      <c r="M117" s="12">
        <f>IF(D117="","",IF(K117="","OPEN",IF((K117-D117)&gt;0,"WIN","LOSS")))</f>
        <v/>
      </c>
      <c r="N117" s="11" t="n"/>
      <c r="O117" s="11" t="n"/>
    </row>
    <row r="118">
      <c r="A118" s="11" t="n"/>
      <c r="B118" s="11" t="n"/>
      <c r="C118" s="11" t="n"/>
      <c r="D118" s="11" t="n"/>
      <c r="E118" s="11" t="n"/>
      <c r="F118" s="11" t="n"/>
      <c r="G118" s="11" t="n"/>
      <c r="H118" s="15">
        <f>IFERROR((F118-D118)/(D118-E118),"")</f>
        <v/>
      </c>
      <c r="I118" s="11" t="n"/>
      <c r="J118" s="11" t="n"/>
      <c r="K118" s="11" t="n"/>
      <c r="L118" s="16">
        <f>IF(OR(K118="",D118="",J118=""),"",(K118-D118)*J118)</f>
        <v/>
      </c>
      <c r="M118" s="12">
        <f>IF(D118="","",IF(K118="","OPEN",IF((K118-D118)&gt;0,"WIN","LOSS")))</f>
        <v/>
      </c>
      <c r="N118" s="11" t="n"/>
      <c r="O118" s="11" t="n"/>
    </row>
    <row r="119">
      <c r="A119" s="11" t="n"/>
      <c r="B119" s="11" t="n"/>
      <c r="C119" s="11" t="n"/>
      <c r="D119" s="11" t="n"/>
      <c r="E119" s="11" t="n"/>
      <c r="F119" s="11" t="n"/>
      <c r="G119" s="11" t="n"/>
      <c r="H119" s="15">
        <f>IFERROR((F119-D119)/(D119-E119),"")</f>
        <v/>
      </c>
      <c r="I119" s="11" t="n"/>
      <c r="J119" s="11" t="n"/>
      <c r="K119" s="11" t="n"/>
      <c r="L119" s="16">
        <f>IF(OR(K119="",D119="",J119=""),"",(K119-D119)*J119)</f>
        <v/>
      </c>
      <c r="M119" s="12">
        <f>IF(D119="","",IF(K119="","OPEN",IF((K119-D119)&gt;0,"WIN","LOSS")))</f>
        <v/>
      </c>
      <c r="N119" s="11" t="n"/>
      <c r="O119" s="11" t="n"/>
    </row>
    <row r="120">
      <c r="A120" s="11" t="n"/>
      <c r="B120" s="11" t="n"/>
      <c r="C120" s="11" t="n"/>
      <c r="D120" s="11" t="n"/>
      <c r="E120" s="11" t="n"/>
      <c r="F120" s="11" t="n"/>
      <c r="G120" s="11" t="n"/>
      <c r="H120" s="15">
        <f>IFERROR((F120-D120)/(D120-E120),"")</f>
        <v/>
      </c>
      <c r="I120" s="11" t="n"/>
      <c r="J120" s="11" t="n"/>
      <c r="K120" s="11" t="n"/>
      <c r="L120" s="16">
        <f>IF(OR(K120="",D120="",J120=""),"",(K120-D120)*J120)</f>
        <v/>
      </c>
      <c r="M120" s="12">
        <f>IF(D120="","",IF(K120="","OPEN",IF((K120-D120)&gt;0,"WIN","LOSS")))</f>
        <v/>
      </c>
      <c r="N120" s="11" t="n"/>
      <c r="O120" s="11" t="n"/>
    </row>
  </sheetData>
  <dataValidations count="1">
    <dataValidation sqref="C3:C120" showDropDown="0" showInputMessage="0" showErrorMessage="0" allowBlank="1" type="list">
      <formula1>"CE,PE"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00"/>
  <sheetViews>
    <sheetView workbookViewId="0">
      <pane ySplit="1" topLeftCell="A2" activePane="bottomLeft" state="frozen"/>
      <selection pane="bottomLeft" activeCell="A1" sqref="A1"/>
    </sheetView>
  </sheetViews>
  <sheetFormatPr baseColWidth="8" defaultRowHeight="14.5"/>
  <cols>
    <col width="12" customWidth="1" style="36" min="1" max="1"/>
    <col width="15" customWidth="1" style="36" min="2" max="2"/>
    <col width="46" customWidth="1" style="36" min="3" max="3"/>
    <col width="40" customWidth="1" style="36" min="4" max="5"/>
  </cols>
  <sheetData>
    <row r="1">
      <c r="A1" s="8" t="inlineStr">
        <is>
          <t>Date</t>
        </is>
      </c>
      <c r="B1" s="8" t="inlineStr">
        <is>
          <t>Category</t>
        </is>
      </c>
      <c r="C1" s="8" t="inlineStr">
        <is>
          <t>Lesson</t>
        </is>
      </c>
      <c r="D1" s="8" t="inlineStr">
        <is>
          <t>Why it matters</t>
        </is>
      </c>
      <c r="E1" s="8" t="inlineStr">
        <is>
          <t>Action / Rule</t>
        </is>
      </c>
    </row>
    <row r="2" ht="26" customHeight="1" s="36">
      <c r="A2" s="10" t="inlineStr">
        <is>
          <t>2026-09-02</t>
        </is>
      </c>
      <c r="B2" s="10" t="inlineStr">
        <is>
          <t>Good Practice</t>
        </is>
      </c>
      <c r="C2" s="10" t="inlineStr">
        <is>
          <t>Built explicit TAKE/NO TRADE banner + gate list.</t>
        </is>
      </c>
      <c r="D2" s="10" t="inlineStr">
        <is>
          <t>Makes the blocking reason visible instead of guessing.</t>
        </is>
      </c>
      <c r="E2" s="10" t="inlineStr">
        <is>
          <t>Always read the blocking gate before overriding a NO TRADE.</t>
        </is>
      </c>
    </row>
    <row r="3" ht="26" customHeight="1" s="36">
      <c r="A3" s="10" t="inlineStr">
        <is>
          <t>2026-09-02</t>
        </is>
      </c>
      <c r="B3" s="10" t="inlineStr">
        <is>
          <t>Good Practice</t>
        </is>
      </c>
      <c r="C3" s="10" t="inlineStr">
        <is>
          <t>Contract selection ranks by moneyness/liquidity, not just nearest strike.</t>
        </is>
      </c>
      <c r="D3" s="10" t="inlineStr">
        <is>
          <t>Avoids illiquid or low-delta contracts.</t>
        </is>
      </c>
      <c r="E3" s="10" t="inlineStr">
        <is>
          <t>Prefer the top-ranked ATM/in-band contract.</t>
        </is>
      </c>
    </row>
    <row r="4" ht="50" customHeight="1" s="36">
      <c r="A4" s="22" t="inlineStr">
        <is>
          <t>2026-09-03</t>
        </is>
      </c>
      <c r="B4" s="22" t="inlineStr">
        <is>
          <t>Mistake</t>
        </is>
      </c>
      <c r="C4" s="22" t="inlineStr">
        <is>
          <t>Could not confirm whether any setup fired on 09-03 — monitoring wasn't running continuously and nothing was persisted (restarts wiped in-memory history, no DB).</t>
        </is>
      </c>
      <c r="D4" s="22" t="inlineStr">
        <is>
          <t>Without a live watch + a durable record, 'was there a trade today?' can't be answered reliably.</t>
        </is>
      </c>
      <c r="E4" s="22" t="inlineStr">
        <is>
          <t>Each session: start the stream, run the live watch, and auto-log confirmed setups to the Signals sheet. Consider a database for durable history.</t>
        </is>
      </c>
    </row>
    <row r="5" ht="87.5" customHeight="1" s="36">
      <c r="A5" s="21" t="inlineStr">
        <is>
          <t>2026-09-10</t>
        </is>
      </c>
      <c r="B5" s="21" t="inlineStr">
        <is>
          <t>Insight</t>
        </is>
      </c>
      <c r="C5" s="22" t="inlineStr">
        <is>
          <t>Calm VIX + flat gap + open pinned between two heavy levels = range day. Price ranged 115 pts and every 5-year level in play held as S/R with zero breaks, yet the flip correctly took NO TRADE.</t>
        </is>
      </c>
      <c r="D5" s="22" t="inlineStr">
        <is>
          <t>The flip is a break-and-retest system - its edge only exists on a break. No break = no setup. A naive fade of the levels would have scalped the range but that is the ~15% no-edge approach we rejected. Also: a feed gap faked a +88 final bar (to 23477.8); trust continuous 5-min closes, not the print.</t>
        </is>
      </c>
      <c r="E5" s="22" t="inlineStr">
        <is>
          <t>Range day (calm VIX + flat gap + open between heavy levels) = observe only, do not force a fade. Confirm any break on continuous 5-min closes and ignore the closing-auction bar. Levels are 5-year backtested, computed once, anchored on the open or prior close given at 9:10.</t>
        </is>
      </c>
    </row>
    <row r="6">
      <c r="A6" s="11" t="inlineStr">
        <is>
          <t>2026-09-11</t>
        </is>
      </c>
      <c r="B6" s="11" t="inlineStr">
        <is>
          <t>Execution</t>
        </is>
      </c>
      <c r="C6" s="11" t="inlineStr">
        <is>
          <t>The first CONFIRMED flip (LONG at 23352) was relayed at spot 23383 - ~31 pts past the retest entry. On a fast move, by the time CONFIRMED prints and is relayed, price can already be near target.</t>
        </is>
      </c>
      <c r="D6" s="11" t="inlineStr">
        <is>
          <t>Entered late; still +Rs1,345 but gave back the disciplined ~Rs2,000 the half+trail would have banked. The retest entry window is only 1-2 candles.</t>
        </is>
      </c>
      <c r="E6" s="11" t="inlineStr">
        <is>
          <t>Act on the AWAITING_RETEST alert ('X broke, watch the retest') and be ready at the level - do NOT wait for the CONFIRMED relay on fast moves.</t>
        </is>
      </c>
    </row>
    <row r="7">
      <c r="A7" s="11" t="inlineStr">
        <is>
          <t>2026-09-11</t>
        </is>
      </c>
      <c r="B7" s="11" t="inlineStr">
        <is>
          <t>Win</t>
        </is>
      </c>
      <c r="C7" s="11" t="inlineStr">
        <is>
          <t>Two clean flips both won: LONG 23352 (+Rs1,345) and SHORT 23435 (+Rs1,120), day +Rs2,465. The SHORT was textbook - entered at the retest, banked half at the 23395 target, trailed, closed on the time rule.</t>
        </is>
      </c>
      <c r="D7" s="11" t="inlineStr">
        <is>
          <t>Confirms the S/R flip edge is real AND executable when you enter at the retest rather than chasing the confirmation.</t>
        </is>
      </c>
      <c r="E7" s="11" t="inlineStr">
        <is>
          <t>Standard playbook: enter at the retest, half at +40 target, trail the rest by 25.</t>
        </is>
      </c>
    </row>
    <row r="8">
      <c r="A8" s="11" t="inlineStr">
        <is>
          <t>2026-09-11</t>
        </is>
      </c>
      <c r="B8" s="11" t="inlineStr">
        <is>
          <t>Rule</t>
        </is>
      </c>
      <c r="C8" s="11" t="inlineStr">
        <is>
          <t>Added a hard time-exit: if the target is not reached by 15:25, close the trade - do not hold into the last 5 minutes.</t>
        </is>
      </c>
      <c r="D8" s="11" t="inlineStr">
        <is>
          <t>Avoids last-5-min illiquidity and the closing-auction print artifact (seen 2026-09-10 as a fake +88 bar).</t>
        </is>
      </c>
      <c r="E8" s="11" t="inlineStr">
        <is>
          <t>Close any open intraday trade at 15:25 IST if the target has not been hit.</t>
        </is>
      </c>
    </row>
    <row r="9">
      <c r="A9" s="11" t="inlineStr">
        <is>
          <t>2026-09-15</t>
        </is>
      </c>
      <c r="B9" s="11" t="inlineStr">
        <is>
          <t>Trend day</t>
        </is>
      </c>
      <c r="C9" s="11" t="inlineStr">
        <is>
          <t>Strong trend-down day (open 23576 -&gt; close AT low 23118). The flip shorts confirmed ~20pts late via the relay loop, BUT being at the screen the 09:25 retest was shorted live via a deep-ITM 23700 PE and HELD the trend to 12:30 = +Rs8,450.</t>
        </is>
      </c>
      <c r="D9" s="11" t="inlineStr">
        <is>
          <t>Proves the fix: on a trend day, entering at the retest LIVE (not waiting for the relay) captures the move. A deep-ITM PE (~0.95 delta) tracked the fall nearly 1:1 - good vehicle for a strong trend.</t>
        </is>
      </c>
      <c r="E9" s="11" t="inlineStr">
        <is>
          <t>On a clear trend day: enter at the level-retest as it happens; consider a deep-ITM option for ~1:1 tracking; HOLD the trend (trail) rather than banking a fixed +40.</t>
        </is>
      </c>
    </row>
    <row r="10">
      <c r="A10" s="11" t="inlineStr">
        <is>
          <t>2026-09-15</t>
        </is>
      </c>
      <c r="B10" s="11" t="inlineStr">
        <is>
          <t>Regime</t>
        </is>
      </c>
      <c r="C10" s="11" t="inlineStr">
        <is>
          <t>VIX 12.29 predicted a ~150-200 pt day; actual range was 474 pts (2.5x). A gap-up + trend blew far past the VIX window, and the anchored +/-180 ladder left the watcher 'off the levels' below 23396 (had to widen to +/-400).</t>
        </is>
      </c>
      <c r="D10" s="11" t="inlineStr">
        <is>
          <t>The VIX-scaled window under-sizes gap/trend days. Anchoring the ladder to only +/-VIX-window can leave you blind when price trends hard.</t>
        </is>
      </c>
      <c r="E10" s="11" t="inlineStr">
        <is>
          <t>On a gap day, build the level ladder wider (&gt;= +/-400) from the start so a trend never runs off the map. Treat a big gap as a trend-risk day, not a range day.</t>
        </is>
      </c>
    </row>
    <row r="11">
      <c r="A11" s="11" t="inlineStr">
        <is>
          <t>2026-09-15</t>
        </is>
      </c>
      <c r="B11" s="11" t="inlineStr">
        <is>
          <t>Reliability</t>
        </is>
      </c>
      <c r="C11" s="11" t="inlineStr">
        <is>
          <t>The watcher (scratchpad polling loop) slept twice today (missed ~10:00-12:24 and 12:31-close), losing most of the afternoon.</t>
        </is>
      </c>
      <c r="D11" s="11" t="inlineStr">
        <is>
          <t>Depending on my polling loop staying awake is fragile - a sleeping machine = no alerts for hours.</t>
        </is>
      </c>
      <c r="E11" s="11" t="inlineStr">
        <is>
          <t>Use a keep-awake for the session, and/or move the 5-min watch runner in-app so alerts do not depend on my polling.</t>
        </is>
      </c>
    </row>
    <row r="12">
      <c r="A12" s="11" t="n"/>
      <c r="B12" s="11" t="n"/>
      <c r="C12" s="11" t="n"/>
      <c r="D12" s="11" t="n"/>
      <c r="E12" s="11" t="n"/>
    </row>
    <row r="13">
      <c r="A13" s="11" t="n"/>
      <c r="B13" s="11" t="n"/>
      <c r="C13" s="11" t="n"/>
      <c r="D13" s="11" t="n"/>
      <c r="E13" s="11" t="n"/>
    </row>
    <row r="14">
      <c r="A14" s="11" t="n"/>
      <c r="B14" s="11" t="n"/>
      <c r="C14" s="11" t="n"/>
      <c r="D14" s="11" t="n"/>
      <c r="E14" s="11" t="n"/>
    </row>
    <row r="15">
      <c r="A15" s="11" t="n"/>
      <c r="B15" s="11" t="n"/>
      <c r="C15" s="11" t="n"/>
      <c r="D15" s="11" t="n"/>
      <c r="E15" s="11" t="n"/>
    </row>
    <row r="16">
      <c r="A16" s="11" t="n"/>
      <c r="B16" s="11" t="n"/>
      <c r="C16" s="11" t="n"/>
      <c r="D16" s="11" t="n"/>
      <c r="E16" s="11" t="n"/>
    </row>
    <row r="17">
      <c r="A17" s="11" t="n"/>
      <c r="B17" s="11" t="n"/>
      <c r="C17" s="11" t="n"/>
      <c r="D17" s="11" t="n"/>
      <c r="E17" s="11" t="n"/>
    </row>
    <row r="18">
      <c r="A18" s="11" t="n"/>
      <c r="B18" s="11" t="n"/>
      <c r="C18" s="11" t="n"/>
      <c r="D18" s="11" t="n"/>
      <c r="E18" s="11" t="n"/>
    </row>
    <row r="19">
      <c r="A19" s="11" t="n"/>
      <c r="B19" s="11" t="n"/>
      <c r="C19" s="11" t="n"/>
      <c r="D19" s="11" t="n"/>
      <c r="E19" s="11" t="n"/>
    </row>
    <row r="20">
      <c r="A20" s="11" t="n"/>
      <c r="B20" s="11" t="n"/>
      <c r="C20" s="11" t="n"/>
      <c r="D20" s="11" t="n"/>
      <c r="E20" s="11" t="n"/>
    </row>
    <row r="21">
      <c r="A21" s="11" t="n"/>
      <c r="B21" s="11" t="n"/>
      <c r="C21" s="11" t="n"/>
      <c r="D21" s="11" t="n"/>
      <c r="E21" s="11" t="n"/>
    </row>
    <row r="22">
      <c r="A22" s="11" t="n"/>
      <c r="B22" s="11" t="n"/>
      <c r="C22" s="11" t="n"/>
      <c r="D22" s="11" t="n"/>
      <c r="E22" s="11" t="n"/>
    </row>
    <row r="23">
      <c r="A23" s="11" t="n"/>
      <c r="B23" s="11" t="n"/>
      <c r="C23" s="11" t="n"/>
      <c r="D23" s="11" t="n"/>
      <c r="E23" s="11" t="n"/>
    </row>
    <row r="24">
      <c r="A24" s="11" t="n"/>
      <c r="B24" s="11" t="n"/>
      <c r="C24" s="11" t="n"/>
      <c r="D24" s="11" t="n"/>
      <c r="E24" s="11" t="n"/>
    </row>
    <row r="25">
      <c r="A25" s="11" t="n"/>
      <c r="B25" s="11" t="n"/>
      <c r="C25" s="11" t="n"/>
      <c r="D25" s="11" t="n"/>
      <c r="E25" s="11" t="n"/>
    </row>
    <row r="26">
      <c r="A26" s="11" t="n"/>
      <c r="B26" s="11" t="n"/>
      <c r="C26" s="11" t="n"/>
      <c r="D26" s="11" t="n"/>
      <c r="E26" s="11" t="n"/>
    </row>
    <row r="27">
      <c r="A27" s="11" t="n"/>
      <c r="B27" s="11" t="n"/>
      <c r="C27" s="11" t="n"/>
      <c r="D27" s="11" t="n"/>
      <c r="E27" s="11" t="n"/>
    </row>
    <row r="28">
      <c r="A28" s="11" t="n"/>
      <c r="B28" s="11" t="n"/>
      <c r="C28" s="11" t="n"/>
      <c r="D28" s="11" t="n"/>
      <c r="E28" s="11" t="n"/>
    </row>
    <row r="29">
      <c r="A29" s="11" t="n"/>
      <c r="B29" s="11" t="n"/>
      <c r="C29" s="11" t="n"/>
      <c r="D29" s="11" t="n"/>
      <c r="E29" s="11" t="n"/>
    </row>
    <row r="30">
      <c r="A30" s="11" t="n"/>
      <c r="B30" s="11" t="n"/>
      <c r="C30" s="11" t="n"/>
      <c r="D30" s="11" t="n"/>
      <c r="E30" s="11" t="n"/>
    </row>
    <row r="31">
      <c r="A31" s="11" t="n"/>
      <c r="B31" s="11" t="n"/>
      <c r="C31" s="11" t="n"/>
      <c r="D31" s="11" t="n"/>
      <c r="E31" s="11" t="n"/>
    </row>
    <row r="32">
      <c r="A32" s="11" t="n"/>
      <c r="B32" s="11" t="n"/>
      <c r="C32" s="11" t="n"/>
      <c r="D32" s="11" t="n"/>
      <c r="E32" s="11" t="n"/>
    </row>
    <row r="33">
      <c r="A33" s="11" t="n"/>
      <c r="B33" s="11" t="n"/>
      <c r="C33" s="11" t="n"/>
      <c r="D33" s="11" t="n"/>
      <c r="E33" s="11" t="n"/>
    </row>
    <row r="34">
      <c r="A34" s="11" t="n"/>
      <c r="B34" s="11" t="n"/>
      <c r="C34" s="11" t="n"/>
      <c r="D34" s="11" t="n"/>
      <c r="E34" s="11" t="n"/>
    </row>
    <row r="35">
      <c r="A35" s="11" t="n"/>
      <c r="B35" s="11" t="n"/>
      <c r="C35" s="11" t="n"/>
      <c r="D35" s="11" t="n"/>
      <c r="E35" s="11" t="n"/>
    </row>
    <row r="36">
      <c r="A36" s="11" t="n"/>
      <c r="B36" s="11" t="n"/>
      <c r="C36" s="11" t="n"/>
      <c r="D36" s="11" t="n"/>
      <c r="E36" s="11" t="n"/>
    </row>
    <row r="37">
      <c r="A37" s="11" t="n"/>
      <c r="B37" s="11" t="n"/>
      <c r="C37" s="11" t="n"/>
      <c r="D37" s="11" t="n"/>
      <c r="E37" s="11" t="n"/>
    </row>
    <row r="38">
      <c r="A38" s="11" t="n"/>
      <c r="B38" s="11" t="n"/>
      <c r="C38" s="11" t="n"/>
      <c r="D38" s="11" t="n"/>
      <c r="E38" s="11" t="n"/>
    </row>
    <row r="39">
      <c r="A39" s="11" t="n"/>
      <c r="B39" s="11" t="n"/>
      <c r="C39" s="11" t="n"/>
      <c r="D39" s="11" t="n"/>
      <c r="E39" s="11" t="n"/>
    </row>
    <row r="40">
      <c r="A40" s="11" t="n"/>
      <c r="B40" s="11" t="n"/>
      <c r="C40" s="11" t="n"/>
      <c r="D40" s="11" t="n"/>
      <c r="E40" s="11" t="n"/>
    </row>
    <row r="41">
      <c r="A41" s="11" t="n"/>
      <c r="B41" s="11" t="n"/>
      <c r="C41" s="11" t="n"/>
      <c r="D41" s="11" t="n"/>
      <c r="E41" s="11" t="n"/>
    </row>
    <row r="42">
      <c r="A42" s="11" t="n"/>
      <c r="B42" s="11" t="n"/>
      <c r="C42" s="11" t="n"/>
      <c r="D42" s="11" t="n"/>
      <c r="E42" s="11" t="n"/>
    </row>
    <row r="43">
      <c r="A43" s="11" t="n"/>
      <c r="B43" s="11" t="n"/>
      <c r="C43" s="11" t="n"/>
      <c r="D43" s="11" t="n"/>
      <c r="E43" s="11" t="n"/>
    </row>
    <row r="44">
      <c r="A44" s="11" t="n"/>
      <c r="B44" s="11" t="n"/>
      <c r="C44" s="11" t="n"/>
      <c r="D44" s="11" t="n"/>
      <c r="E44" s="11" t="n"/>
    </row>
    <row r="45">
      <c r="A45" s="11" t="n"/>
      <c r="B45" s="11" t="n"/>
      <c r="C45" s="11" t="n"/>
      <c r="D45" s="11" t="n"/>
      <c r="E45" s="11" t="n"/>
    </row>
    <row r="46">
      <c r="A46" s="11" t="n"/>
      <c r="B46" s="11" t="n"/>
      <c r="C46" s="11" t="n"/>
      <c r="D46" s="11" t="n"/>
      <c r="E46" s="11" t="n"/>
    </row>
    <row r="47">
      <c r="A47" s="11" t="n"/>
      <c r="B47" s="11" t="n"/>
      <c r="C47" s="11" t="n"/>
      <c r="D47" s="11" t="n"/>
      <c r="E47" s="11" t="n"/>
    </row>
    <row r="48">
      <c r="A48" s="11" t="n"/>
      <c r="B48" s="11" t="n"/>
      <c r="C48" s="11" t="n"/>
      <c r="D48" s="11" t="n"/>
      <c r="E48" s="11" t="n"/>
    </row>
    <row r="49">
      <c r="A49" s="11" t="n"/>
      <c r="B49" s="11" t="n"/>
      <c r="C49" s="11" t="n"/>
      <c r="D49" s="11" t="n"/>
      <c r="E49" s="11" t="n"/>
    </row>
    <row r="50">
      <c r="A50" s="11" t="n"/>
      <c r="B50" s="11" t="n"/>
      <c r="C50" s="11" t="n"/>
      <c r="D50" s="11" t="n"/>
      <c r="E50" s="11" t="n"/>
    </row>
    <row r="51">
      <c r="A51" s="11" t="n"/>
      <c r="B51" s="11" t="n"/>
      <c r="C51" s="11" t="n"/>
      <c r="D51" s="11" t="n"/>
      <c r="E51" s="11" t="n"/>
    </row>
    <row r="52">
      <c r="A52" s="11" t="n"/>
      <c r="B52" s="11" t="n"/>
      <c r="C52" s="11" t="n"/>
      <c r="D52" s="11" t="n"/>
      <c r="E52" s="11" t="n"/>
    </row>
    <row r="53">
      <c r="A53" s="11" t="n"/>
      <c r="B53" s="11" t="n"/>
      <c r="C53" s="11" t="n"/>
      <c r="D53" s="11" t="n"/>
      <c r="E53" s="11" t="n"/>
    </row>
    <row r="54">
      <c r="A54" s="11" t="n"/>
      <c r="B54" s="11" t="n"/>
      <c r="C54" s="11" t="n"/>
      <c r="D54" s="11" t="n"/>
      <c r="E54" s="11" t="n"/>
    </row>
    <row r="55">
      <c r="A55" s="11" t="n"/>
      <c r="B55" s="11" t="n"/>
      <c r="C55" s="11" t="n"/>
      <c r="D55" s="11" t="n"/>
      <c r="E55" s="11" t="n"/>
    </row>
    <row r="56">
      <c r="A56" s="11" t="n"/>
      <c r="B56" s="11" t="n"/>
      <c r="C56" s="11" t="n"/>
      <c r="D56" s="11" t="n"/>
      <c r="E56" s="11" t="n"/>
    </row>
    <row r="57">
      <c r="A57" s="11" t="n"/>
      <c r="B57" s="11" t="n"/>
      <c r="C57" s="11" t="n"/>
      <c r="D57" s="11" t="n"/>
      <c r="E57" s="11" t="n"/>
    </row>
    <row r="58">
      <c r="A58" s="11" t="n"/>
      <c r="B58" s="11" t="n"/>
      <c r="C58" s="11" t="n"/>
      <c r="D58" s="11" t="n"/>
      <c r="E58" s="11" t="n"/>
    </row>
    <row r="59">
      <c r="A59" s="11" t="n"/>
      <c r="B59" s="11" t="n"/>
      <c r="C59" s="11" t="n"/>
      <c r="D59" s="11" t="n"/>
      <c r="E59" s="11" t="n"/>
    </row>
    <row r="60">
      <c r="A60" s="11" t="n"/>
      <c r="B60" s="11" t="n"/>
      <c r="C60" s="11" t="n"/>
      <c r="D60" s="11" t="n"/>
      <c r="E60" s="11" t="n"/>
    </row>
    <row r="61">
      <c r="A61" s="11" t="n"/>
      <c r="B61" s="11" t="n"/>
      <c r="C61" s="11" t="n"/>
      <c r="D61" s="11" t="n"/>
      <c r="E61" s="11" t="n"/>
    </row>
    <row r="62">
      <c r="A62" s="11" t="n"/>
      <c r="B62" s="11" t="n"/>
      <c r="C62" s="11" t="n"/>
      <c r="D62" s="11" t="n"/>
      <c r="E62" s="11" t="n"/>
    </row>
    <row r="63">
      <c r="A63" s="11" t="n"/>
      <c r="B63" s="11" t="n"/>
      <c r="C63" s="11" t="n"/>
      <c r="D63" s="11" t="n"/>
      <c r="E63" s="11" t="n"/>
    </row>
    <row r="64">
      <c r="A64" s="11" t="n"/>
      <c r="B64" s="11" t="n"/>
      <c r="C64" s="11" t="n"/>
      <c r="D64" s="11" t="n"/>
      <c r="E64" s="11" t="n"/>
    </row>
    <row r="65">
      <c r="A65" s="11" t="n"/>
      <c r="B65" s="11" t="n"/>
      <c r="C65" s="11" t="n"/>
      <c r="D65" s="11" t="n"/>
      <c r="E65" s="11" t="n"/>
    </row>
    <row r="66">
      <c r="A66" s="11" t="n"/>
      <c r="B66" s="11" t="n"/>
      <c r="C66" s="11" t="n"/>
      <c r="D66" s="11" t="n"/>
      <c r="E66" s="11" t="n"/>
    </row>
    <row r="67">
      <c r="A67" s="11" t="n"/>
      <c r="B67" s="11" t="n"/>
      <c r="C67" s="11" t="n"/>
      <c r="D67" s="11" t="n"/>
      <c r="E67" s="11" t="n"/>
    </row>
    <row r="68">
      <c r="A68" s="11" t="n"/>
      <c r="B68" s="11" t="n"/>
      <c r="C68" s="11" t="n"/>
      <c r="D68" s="11" t="n"/>
      <c r="E68" s="11" t="n"/>
    </row>
    <row r="69">
      <c r="A69" s="11" t="n"/>
      <c r="B69" s="11" t="n"/>
      <c r="C69" s="11" t="n"/>
      <c r="D69" s="11" t="n"/>
      <c r="E69" s="11" t="n"/>
    </row>
    <row r="70">
      <c r="A70" s="11" t="n"/>
      <c r="B70" s="11" t="n"/>
      <c r="C70" s="11" t="n"/>
      <c r="D70" s="11" t="n"/>
      <c r="E70" s="11" t="n"/>
    </row>
    <row r="71">
      <c r="A71" s="11" t="n"/>
      <c r="B71" s="11" t="n"/>
      <c r="C71" s="11" t="n"/>
      <c r="D71" s="11" t="n"/>
      <c r="E71" s="11" t="n"/>
    </row>
    <row r="72">
      <c r="A72" s="11" t="n"/>
      <c r="B72" s="11" t="n"/>
      <c r="C72" s="11" t="n"/>
      <c r="D72" s="11" t="n"/>
      <c r="E72" s="11" t="n"/>
    </row>
    <row r="73">
      <c r="A73" s="11" t="n"/>
      <c r="B73" s="11" t="n"/>
      <c r="C73" s="11" t="n"/>
      <c r="D73" s="11" t="n"/>
      <c r="E73" s="11" t="n"/>
    </row>
    <row r="74">
      <c r="A74" s="11" t="n"/>
      <c r="B74" s="11" t="n"/>
      <c r="C74" s="11" t="n"/>
      <c r="D74" s="11" t="n"/>
      <c r="E74" s="11" t="n"/>
    </row>
    <row r="75">
      <c r="A75" s="11" t="n"/>
      <c r="B75" s="11" t="n"/>
      <c r="C75" s="11" t="n"/>
      <c r="D75" s="11" t="n"/>
      <c r="E75" s="11" t="n"/>
    </row>
    <row r="76">
      <c r="A76" s="11" t="n"/>
      <c r="B76" s="11" t="n"/>
      <c r="C76" s="11" t="n"/>
      <c r="D76" s="11" t="n"/>
      <c r="E76" s="11" t="n"/>
    </row>
    <row r="77">
      <c r="A77" s="11" t="n"/>
      <c r="B77" s="11" t="n"/>
      <c r="C77" s="11" t="n"/>
      <c r="D77" s="11" t="n"/>
      <c r="E77" s="11" t="n"/>
    </row>
    <row r="78">
      <c r="A78" s="11" t="n"/>
      <c r="B78" s="11" t="n"/>
      <c r="C78" s="11" t="n"/>
      <c r="D78" s="11" t="n"/>
      <c r="E78" s="11" t="n"/>
    </row>
    <row r="79">
      <c r="A79" s="11" t="n"/>
      <c r="B79" s="11" t="n"/>
      <c r="C79" s="11" t="n"/>
      <c r="D79" s="11" t="n"/>
      <c r="E79" s="11" t="n"/>
    </row>
    <row r="80">
      <c r="A80" s="11" t="n"/>
      <c r="B80" s="11" t="n"/>
      <c r="C80" s="11" t="n"/>
      <c r="D80" s="11" t="n"/>
      <c r="E80" s="11" t="n"/>
    </row>
    <row r="81">
      <c r="A81" s="11" t="n"/>
      <c r="B81" s="11" t="n"/>
      <c r="C81" s="11" t="n"/>
      <c r="D81" s="11" t="n"/>
      <c r="E81" s="11" t="n"/>
    </row>
    <row r="82">
      <c r="A82" s="11" t="n"/>
      <c r="B82" s="11" t="n"/>
      <c r="C82" s="11" t="n"/>
      <c r="D82" s="11" t="n"/>
      <c r="E82" s="11" t="n"/>
    </row>
    <row r="83">
      <c r="A83" s="11" t="n"/>
      <c r="B83" s="11" t="n"/>
      <c r="C83" s="11" t="n"/>
      <c r="D83" s="11" t="n"/>
      <c r="E83" s="11" t="n"/>
    </row>
    <row r="84">
      <c r="A84" s="11" t="n"/>
      <c r="B84" s="11" t="n"/>
      <c r="C84" s="11" t="n"/>
      <c r="D84" s="11" t="n"/>
      <c r="E84" s="11" t="n"/>
    </row>
    <row r="85">
      <c r="A85" s="11" t="n"/>
      <c r="B85" s="11" t="n"/>
      <c r="C85" s="11" t="n"/>
      <c r="D85" s="11" t="n"/>
      <c r="E85" s="11" t="n"/>
    </row>
    <row r="86">
      <c r="A86" s="11" t="n"/>
      <c r="B86" s="11" t="n"/>
      <c r="C86" s="11" t="n"/>
      <c r="D86" s="11" t="n"/>
      <c r="E86" s="11" t="n"/>
    </row>
    <row r="87">
      <c r="A87" s="11" t="n"/>
      <c r="B87" s="11" t="n"/>
      <c r="C87" s="11" t="n"/>
      <c r="D87" s="11" t="n"/>
      <c r="E87" s="11" t="n"/>
    </row>
    <row r="88">
      <c r="A88" s="11" t="n"/>
      <c r="B88" s="11" t="n"/>
      <c r="C88" s="11" t="n"/>
      <c r="D88" s="11" t="n"/>
      <c r="E88" s="11" t="n"/>
    </row>
    <row r="89">
      <c r="A89" s="11" t="n"/>
      <c r="B89" s="11" t="n"/>
      <c r="C89" s="11" t="n"/>
      <c r="D89" s="11" t="n"/>
      <c r="E89" s="11" t="n"/>
    </row>
    <row r="90">
      <c r="A90" s="11" t="n"/>
      <c r="B90" s="11" t="n"/>
      <c r="C90" s="11" t="n"/>
      <c r="D90" s="11" t="n"/>
      <c r="E90" s="11" t="n"/>
    </row>
    <row r="91">
      <c r="A91" s="11" t="n"/>
      <c r="B91" s="11" t="n"/>
      <c r="C91" s="11" t="n"/>
      <c r="D91" s="11" t="n"/>
      <c r="E91" s="11" t="n"/>
    </row>
    <row r="92">
      <c r="A92" s="11" t="n"/>
      <c r="B92" s="11" t="n"/>
      <c r="C92" s="11" t="n"/>
      <c r="D92" s="11" t="n"/>
      <c r="E92" s="11" t="n"/>
    </row>
    <row r="93">
      <c r="A93" s="11" t="n"/>
      <c r="B93" s="11" t="n"/>
      <c r="C93" s="11" t="n"/>
      <c r="D93" s="11" t="n"/>
      <c r="E93" s="11" t="n"/>
    </row>
    <row r="94">
      <c r="A94" s="11" t="n"/>
      <c r="B94" s="11" t="n"/>
      <c r="C94" s="11" t="n"/>
      <c r="D94" s="11" t="n"/>
      <c r="E94" s="11" t="n"/>
    </row>
    <row r="95">
      <c r="A95" s="11" t="n"/>
      <c r="B95" s="11" t="n"/>
      <c r="C95" s="11" t="n"/>
      <c r="D95" s="11" t="n"/>
      <c r="E95" s="11" t="n"/>
    </row>
    <row r="96">
      <c r="A96" s="11" t="n"/>
      <c r="B96" s="11" t="n"/>
      <c r="C96" s="11" t="n"/>
      <c r="D96" s="11" t="n"/>
      <c r="E96" s="11" t="n"/>
    </row>
    <row r="97">
      <c r="A97" s="11" t="n"/>
      <c r="B97" s="11" t="n"/>
      <c r="C97" s="11" t="n"/>
      <c r="D97" s="11" t="n"/>
      <c r="E97" s="11" t="n"/>
    </row>
    <row r="98">
      <c r="A98" s="11" t="n"/>
      <c r="B98" s="11" t="n"/>
      <c r="C98" s="11" t="n"/>
      <c r="D98" s="11" t="n"/>
      <c r="E98" s="11" t="n"/>
    </row>
    <row r="99">
      <c r="A99" s="11" t="n"/>
      <c r="B99" s="11" t="n"/>
      <c r="C99" s="11" t="n"/>
      <c r="D99" s="11" t="n"/>
      <c r="E99" s="11" t="n"/>
    </row>
    <row r="100">
      <c r="A100" s="11" t="n"/>
      <c r="B100" s="11" t="n"/>
      <c r="C100" s="11" t="n"/>
      <c r="D100" s="11" t="n"/>
      <c r="E100" s="11" t="n"/>
    </row>
    <row r="101">
      <c r="A101" s="11" t="n"/>
      <c r="B101" s="11" t="n"/>
      <c r="C101" s="11" t="n"/>
      <c r="D101" s="11" t="n"/>
      <c r="E101" s="11" t="n"/>
    </row>
    <row r="102">
      <c r="A102" s="11" t="n"/>
      <c r="B102" s="11" t="n"/>
      <c r="C102" s="11" t="n"/>
      <c r="D102" s="11" t="n"/>
      <c r="E102" s="11" t="n"/>
    </row>
    <row r="103">
      <c r="A103" s="11" t="n"/>
      <c r="B103" s="11" t="n"/>
      <c r="C103" s="11" t="n"/>
      <c r="D103" s="11" t="n"/>
      <c r="E103" s="11" t="n"/>
    </row>
    <row r="104">
      <c r="A104" s="11" t="n"/>
      <c r="B104" s="11" t="n"/>
      <c r="C104" s="11" t="n"/>
      <c r="D104" s="11" t="n"/>
      <c r="E104" s="11" t="n"/>
    </row>
    <row r="105">
      <c r="A105" s="11" t="n"/>
      <c r="B105" s="11" t="n"/>
      <c r="C105" s="11" t="n"/>
      <c r="D105" s="11" t="n"/>
      <c r="E105" s="11" t="n"/>
    </row>
    <row r="106">
      <c r="A106" s="11" t="n"/>
      <c r="B106" s="11" t="n"/>
      <c r="C106" s="11" t="n"/>
      <c r="D106" s="11" t="n"/>
      <c r="E106" s="11" t="n"/>
    </row>
    <row r="107">
      <c r="A107" s="11" t="n"/>
      <c r="B107" s="11" t="n"/>
      <c r="C107" s="11" t="n"/>
      <c r="D107" s="11" t="n"/>
      <c r="E107" s="11" t="n"/>
    </row>
    <row r="108">
      <c r="A108" s="11" t="n"/>
      <c r="B108" s="11" t="n"/>
      <c r="C108" s="11" t="n"/>
      <c r="D108" s="11" t="n"/>
      <c r="E108" s="11" t="n"/>
    </row>
    <row r="109">
      <c r="A109" s="11" t="n"/>
      <c r="B109" s="11" t="n"/>
      <c r="C109" s="11" t="n"/>
      <c r="D109" s="11" t="n"/>
      <c r="E109" s="11" t="n"/>
    </row>
    <row r="110">
      <c r="A110" s="11" t="n"/>
      <c r="B110" s="11" t="n"/>
      <c r="C110" s="11" t="n"/>
      <c r="D110" s="11" t="n"/>
      <c r="E110" s="11" t="n"/>
    </row>
    <row r="111">
      <c r="A111" s="11" t="n"/>
      <c r="B111" s="11" t="n"/>
      <c r="C111" s="11" t="n"/>
      <c r="D111" s="11" t="n"/>
      <c r="E111" s="11" t="n"/>
    </row>
    <row r="112">
      <c r="A112" s="11" t="n"/>
      <c r="B112" s="11" t="n"/>
      <c r="C112" s="11" t="n"/>
      <c r="D112" s="11" t="n"/>
      <c r="E112" s="11" t="n"/>
    </row>
    <row r="113">
      <c r="A113" s="11" t="n"/>
      <c r="B113" s="11" t="n"/>
      <c r="C113" s="11" t="n"/>
      <c r="D113" s="11" t="n"/>
      <c r="E113" s="11" t="n"/>
    </row>
    <row r="114">
      <c r="A114" s="11" t="n"/>
      <c r="B114" s="11" t="n"/>
      <c r="C114" s="11" t="n"/>
      <c r="D114" s="11" t="n"/>
      <c r="E114" s="11" t="n"/>
    </row>
    <row r="115">
      <c r="A115" s="11" t="n"/>
      <c r="B115" s="11" t="n"/>
      <c r="C115" s="11" t="n"/>
      <c r="D115" s="11" t="n"/>
      <c r="E115" s="11" t="n"/>
    </row>
    <row r="116">
      <c r="A116" s="11" t="n"/>
      <c r="B116" s="11" t="n"/>
      <c r="C116" s="11" t="n"/>
      <c r="D116" s="11" t="n"/>
      <c r="E116" s="11" t="n"/>
    </row>
    <row r="117">
      <c r="A117" s="11" t="n"/>
      <c r="B117" s="11" t="n"/>
      <c r="C117" s="11" t="n"/>
      <c r="D117" s="11" t="n"/>
      <c r="E117" s="11" t="n"/>
    </row>
    <row r="118">
      <c r="A118" s="11" t="n"/>
      <c r="B118" s="11" t="n"/>
      <c r="C118" s="11" t="n"/>
      <c r="D118" s="11" t="n"/>
      <c r="E118" s="11" t="n"/>
    </row>
    <row r="119">
      <c r="A119" s="11" t="n"/>
      <c r="B119" s="11" t="n"/>
      <c r="C119" s="11" t="n"/>
      <c r="D119" s="11" t="n"/>
      <c r="E119" s="11" t="n"/>
    </row>
    <row r="120">
      <c r="A120" s="11" t="n"/>
      <c r="B120" s="11" t="n"/>
      <c r="C120" s="11" t="n"/>
      <c r="D120" s="11" t="n"/>
      <c r="E120" s="11" t="n"/>
    </row>
    <row r="121">
      <c r="A121" s="11" t="n"/>
      <c r="B121" s="11" t="n"/>
      <c r="C121" s="11" t="n"/>
      <c r="D121" s="11" t="n"/>
      <c r="E121" s="11" t="n"/>
    </row>
    <row r="122">
      <c r="A122" s="11" t="n"/>
      <c r="B122" s="11" t="n"/>
      <c r="C122" s="11" t="n"/>
      <c r="D122" s="11" t="n"/>
      <c r="E122" s="11" t="n"/>
    </row>
    <row r="123">
      <c r="A123" s="11" t="n"/>
      <c r="B123" s="11" t="n"/>
      <c r="C123" s="11" t="n"/>
      <c r="D123" s="11" t="n"/>
      <c r="E123" s="11" t="n"/>
    </row>
    <row r="124">
      <c r="A124" s="11" t="n"/>
      <c r="B124" s="11" t="n"/>
      <c r="C124" s="11" t="n"/>
      <c r="D124" s="11" t="n"/>
      <c r="E124" s="11" t="n"/>
    </row>
    <row r="125">
      <c r="A125" s="11" t="n"/>
      <c r="B125" s="11" t="n"/>
      <c r="C125" s="11" t="n"/>
      <c r="D125" s="11" t="n"/>
      <c r="E125" s="11" t="n"/>
    </row>
    <row r="126">
      <c r="A126" s="11" t="n"/>
      <c r="B126" s="11" t="n"/>
      <c r="C126" s="11" t="n"/>
      <c r="D126" s="11" t="n"/>
      <c r="E126" s="11" t="n"/>
    </row>
    <row r="127">
      <c r="A127" s="11" t="n"/>
      <c r="B127" s="11" t="n"/>
      <c r="C127" s="11" t="n"/>
      <c r="D127" s="11" t="n"/>
      <c r="E127" s="11" t="n"/>
    </row>
    <row r="128">
      <c r="A128" s="11" t="n"/>
      <c r="B128" s="11" t="n"/>
      <c r="C128" s="11" t="n"/>
      <c r="D128" s="11" t="n"/>
      <c r="E128" s="11" t="n"/>
    </row>
    <row r="129">
      <c r="A129" s="11" t="n"/>
      <c r="B129" s="11" t="n"/>
      <c r="C129" s="11" t="n"/>
      <c r="D129" s="11" t="n"/>
      <c r="E129" s="11" t="n"/>
    </row>
    <row r="130">
      <c r="A130" s="11" t="n"/>
      <c r="B130" s="11" t="n"/>
      <c r="C130" s="11" t="n"/>
      <c r="D130" s="11" t="n"/>
      <c r="E130" s="11" t="n"/>
    </row>
    <row r="131">
      <c r="A131" s="11" t="n"/>
      <c r="B131" s="11" t="n"/>
      <c r="C131" s="11" t="n"/>
      <c r="D131" s="11" t="n"/>
      <c r="E131" s="11" t="n"/>
    </row>
    <row r="132">
      <c r="A132" s="11" t="n"/>
      <c r="B132" s="11" t="n"/>
      <c r="C132" s="11" t="n"/>
      <c r="D132" s="11" t="n"/>
      <c r="E132" s="11" t="n"/>
    </row>
    <row r="133">
      <c r="A133" s="11" t="n"/>
      <c r="B133" s="11" t="n"/>
      <c r="C133" s="11" t="n"/>
      <c r="D133" s="11" t="n"/>
      <c r="E133" s="11" t="n"/>
    </row>
    <row r="134">
      <c r="A134" s="11" t="n"/>
      <c r="B134" s="11" t="n"/>
      <c r="C134" s="11" t="n"/>
      <c r="D134" s="11" t="n"/>
      <c r="E134" s="11" t="n"/>
    </row>
    <row r="135">
      <c r="A135" s="11" t="n"/>
      <c r="B135" s="11" t="n"/>
      <c r="C135" s="11" t="n"/>
      <c r="D135" s="11" t="n"/>
      <c r="E135" s="11" t="n"/>
    </row>
    <row r="136">
      <c r="A136" s="11" t="n"/>
      <c r="B136" s="11" t="n"/>
      <c r="C136" s="11" t="n"/>
      <c r="D136" s="11" t="n"/>
      <c r="E136" s="11" t="n"/>
    </row>
    <row r="137">
      <c r="A137" s="11" t="n"/>
      <c r="B137" s="11" t="n"/>
      <c r="C137" s="11" t="n"/>
      <c r="D137" s="11" t="n"/>
      <c r="E137" s="11" t="n"/>
    </row>
    <row r="138">
      <c r="A138" s="11" t="n"/>
      <c r="B138" s="11" t="n"/>
      <c r="C138" s="11" t="n"/>
      <c r="D138" s="11" t="n"/>
      <c r="E138" s="11" t="n"/>
    </row>
    <row r="139">
      <c r="A139" s="11" t="n"/>
      <c r="B139" s="11" t="n"/>
      <c r="C139" s="11" t="n"/>
      <c r="D139" s="11" t="n"/>
      <c r="E139" s="11" t="n"/>
    </row>
    <row r="140">
      <c r="A140" s="11" t="n"/>
      <c r="B140" s="11" t="n"/>
      <c r="C140" s="11" t="n"/>
      <c r="D140" s="11" t="n"/>
      <c r="E140" s="11" t="n"/>
    </row>
    <row r="141">
      <c r="A141" s="11" t="n"/>
      <c r="B141" s="11" t="n"/>
      <c r="C141" s="11" t="n"/>
      <c r="D141" s="11" t="n"/>
      <c r="E141" s="11" t="n"/>
    </row>
    <row r="142">
      <c r="A142" s="11" t="n"/>
      <c r="B142" s="11" t="n"/>
      <c r="C142" s="11" t="n"/>
      <c r="D142" s="11" t="n"/>
      <c r="E142" s="11" t="n"/>
    </row>
    <row r="143">
      <c r="A143" s="11" t="n"/>
      <c r="B143" s="11" t="n"/>
      <c r="C143" s="11" t="n"/>
      <c r="D143" s="11" t="n"/>
      <c r="E143" s="11" t="n"/>
    </row>
    <row r="144">
      <c r="A144" s="11" t="n"/>
      <c r="B144" s="11" t="n"/>
      <c r="C144" s="11" t="n"/>
      <c r="D144" s="11" t="n"/>
      <c r="E144" s="11" t="n"/>
    </row>
    <row r="145">
      <c r="A145" s="11" t="n"/>
      <c r="B145" s="11" t="n"/>
      <c r="C145" s="11" t="n"/>
      <c r="D145" s="11" t="n"/>
      <c r="E145" s="11" t="n"/>
    </row>
    <row r="146">
      <c r="A146" s="11" t="n"/>
      <c r="B146" s="11" t="n"/>
      <c r="C146" s="11" t="n"/>
      <c r="D146" s="11" t="n"/>
      <c r="E146" s="11" t="n"/>
    </row>
    <row r="147">
      <c r="A147" s="11" t="n"/>
      <c r="B147" s="11" t="n"/>
      <c r="C147" s="11" t="n"/>
      <c r="D147" s="11" t="n"/>
      <c r="E147" s="11" t="n"/>
    </row>
    <row r="148">
      <c r="A148" s="11" t="n"/>
      <c r="B148" s="11" t="n"/>
      <c r="C148" s="11" t="n"/>
      <c r="D148" s="11" t="n"/>
      <c r="E148" s="11" t="n"/>
    </row>
    <row r="149">
      <c r="A149" s="11" t="n"/>
      <c r="B149" s="11" t="n"/>
      <c r="C149" s="11" t="n"/>
      <c r="D149" s="11" t="n"/>
      <c r="E149" s="11" t="n"/>
    </row>
    <row r="150">
      <c r="A150" s="11" t="n"/>
      <c r="B150" s="11" t="n"/>
      <c r="C150" s="11" t="n"/>
      <c r="D150" s="11" t="n"/>
      <c r="E150" s="11" t="n"/>
    </row>
    <row r="151">
      <c r="A151" s="11" t="n"/>
      <c r="B151" s="11" t="n"/>
      <c r="C151" s="11" t="n"/>
      <c r="D151" s="11" t="n"/>
      <c r="E151" s="11" t="n"/>
    </row>
    <row r="152">
      <c r="A152" s="11" t="n"/>
      <c r="B152" s="11" t="n"/>
      <c r="C152" s="11" t="n"/>
      <c r="D152" s="11" t="n"/>
      <c r="E152" s="11" t="n"/>
    </row>
    <row r="153">
      <c r="A153" s="11" t="n"/>
      <c r="B153" s="11" t="n"/>
      <c r="C153" s="11" t="n"/>
      <c r="D153" s="11" t="n"/>
      <c r="E153" s="11" t="n"/>
    </row>
    <row r="154">
      <c r="A154" s="11" t="n"/>
      <c r="B154" s="11" t="n"/>
      <c r="C154" s="11" t="n"/>
      <c r="D154" s="11" t="n"/>
      <c r="E154" s="11" t="n"/>
    </row>
    <row r="155">
      <c r="A155" s="11" t="n"/>
      <c r="B155" s="11" t="n"/>
      <c r="C155" s="11" t="n"/>
      <c r="D155" s="11" t="n"/>
      <c r="E155" s="11" t="n"/>
    </row>
    <row r="156">
      <c r="A156" s="11" t="n"/>
      <c r="B156" s="11" t="n"/>
      <c r="C156" s="11" t="n"/>
      <c r="D156" s="11" t="n"/>
      <c r="E156" s="11" t="n"/>
    </row>
    <row r="157">
      <c r="A157" s="11" t="n"/>
      <c r="B157" s="11" t="n"/>
      <c r="C157" s="11" t="n"/>
      <c r="D157" s="11" t="n"/>
      <c r="E157" s="11" t="n"/>
    </row>
    <row r="158">
      <c r="A158" s="11" t="n"/>
      <c r="B158" s="11" t="n"/>
      <c r="C158" s="11" t="n"/>
      <c r="D158" s="11" t="n"/>
      <c r="E158" s="11" t="n"/>
    </row>
    <row r="159">
      <c r="A159" s="11" t="n"/>
      <c r="B159" s="11" t="n"/>
      <c r="C159" s="11" t="n"/>
      <c r="D159" s="11" t="n"/>
      <c r="E159" s="11" t="n"/>
    </row>
    <row r="160">
      <c r="A160" s="11" t="n"/>
      <c r="B160" s="11" t="n"/>
      <c r="C160" s="11" t="n"/>
      <c r="D160" s="11" t="n"/>
      <c r="E160" s="11" t="n"/>
    </row>
    <row r="161">
      <c r="A161" s="11" t="n"/>
      <c r="B161" s="11" t="n"/>
      <c r="C161" s="11" t="n"/>
      <c r="D161" s="11" t="n"/>
      <c r="E161" s="11" t="n"/>
    </row>
    <row r="162">
      <c r="A162" s="11" t="n"/>
      <c r="B162" s="11" t="n"/>
      <c r="C162" s="11" t="n"/>
      <c r="D162" s="11" t="n"/>
      <c r="E162" s="11" t="n"/>
    </row>
    <row r="163">
      <c r="A163" s="11" t="n"/>
      <c r="B163" s="11" t="n"/>
      <c r="C163" s="11" t="n"/>
      <c r="D163" s="11" t="n"/>
      <c r="E163" s="11" t="n"/>
    </row>
    <row r="164">
      <c r="A164" s="11" t="n"/>
      <c r="B164" s="11" t="n"/>
      <c r="C164" s="11" t="n"/>
      <c r="D164" s="11" t="n"/>
      <c r="E164" s="11" t="n"/>
    </row>
    <row r="165">
      <c r="A165" s="11" t="n"/>
      <c r="B165" s="11" t="n"/>
      <c r="C165" s="11" t="n"/>
      <c r="D165" s="11" t="n"/>
      <c r="E165" s="11" t="n"/>
    </row>
    <row r="166">
      <c r="A166" s="11" t="n"/>
      <c r="B166" s="11" t="n"/>
      <c r="C166" s="11" t="n"/>
      <c r="D166" s="11" t="n"/>
      <c r="E166" s="11" t="n"/>
    </row>
    <row r="167">
      <c r="A167" s="11" t="n"/>
      <c r="B167" s="11" t="n"/>
      <c r="C167" s="11" t="n"/>
      <c r="D167" s="11" t="n"/>
      <c r="E167" s="11" t="n"/>
    </row>
    <row r="168">
      <c r="A168" s="11" t="n"/>
      <c r="B168" s="11" t="n"/>
      <c r="C168" s="11" t="n"/>
      <c r="D168" s="11" t="n"/>
      <c r="E168" s="11" t="n"/>
    </row>
    <row r="169">
      <c r="A169" s="11" t="n"/>
      <c r="B169" s="11" t="n"/>
      <c r="C169" s="11" t="n"/>
      <c r="D169" s="11" t="n"/>
      <c r="E169" s="11" t="n"/>
    </row>
    <row r="170">
      <c r="A170" s="11" t="n"/>
      <c r="B170" s="11" t="n"/>
      <c r="C170" s="11" t="n"/>
      <c r="D170" s="11" t="n"/>
      <c r="E170" s="11" t="n"/>
    </row>
    <row r="171">
      <c r="A171" s="11" t="n"/>
      <c r="B171" s="11" t="n"/>
      <c r="C171" s="11" t="n"/>
      <c r="D171" s="11" t="n"/>
      <c r="E171" s="11" t="n"/>
    </row>
    <row r="172">
      <c r="A172" s="11" t="n"/>
      <c r="B172" s="11" t="n"/>
      <c r="C172" s="11" t="n"/>
      <c r="D172" s="11" t="n"/>
      <c r="E172" s="11" t="n"/>
    </row>
    <row r="173">
      <c r="A173" s="11" t="n"/>
      <c r="B173" s="11" t="n"/>
      <c r="C173" s="11" t="n"/>
      <c r="D173" s="11" t="n"/>
      <c r="E173" s="11" t="n"/>
    </row>
    <row r="174">
      <c r="A174" s="11" t="n"/>
      <c r="B174" s="11" t="n"/>
      <c r="C174" s="11" t="n"/>
      <c r="D174" s="11" t="n"/>
      <c r="E174" s="11" t="n"/>
    </row>
    <row r="175">
      <c r="A175" s="11" t="n"/>
      <c r="B175" s="11" t="n"/>
      <c r="C175" s="11" t="n"/>
      <c r="D175" s="11" t="n"/>
      <c r="E175" s="11" t="n"/>
    </row>
    <row r="176">
      <c r="A176" s="11" t="n"/>
      <c r="B176" s="11" t="n"/>
      <c r="C176" s="11" t="n"/>
      <c r="D176" s="11" t="n"/>
      <c r="E176" s="11" t="n"/>
    </row>
    <row r="177">
      <c r="A177" s="11" t="n"/>
      <c r="B177" s="11" t="n"/>
      <c r="C177" s="11" t="n"/>
      <c r="D177" s="11" t="n"/>
      <c r="E177" s="11" t="n"/>
    </row>
    <row r="178">
      <c r="A178" s="11" t="n"/>
      <c r="B178" s="11" t="n"/>
      <c r="C178" s="11" t="n"/>
      <c r="D178" s="11" t="n"/>
      <c r="E178" s="11" t="n"/>
    </row>
    <row r="179">
      <c r="A179" s="11" t="n"/>
      <c r="B179" s="11" t="n"/>
      <c r="C179" s="11" t="n"/>
      <c r="D179" s="11" t="n"/>
      <c r="E179" s="11" t="n"/>
    </row>
    <row r="180">
      <c r="A180" s="11" t="n"/>
      <c r="B180" s="11" t="n"/>
      <c r="C180" s="11" t="n"/>
      <c r="D180" s="11" t="n"/>
      <c r="E180" s="11" t="n"/>
    </row>
    <row r="181">
      <c r="A181" s="11" t="n"/>
      <c r="B181" s="11" t="n"/>
      <c r="C181" s="11" t="n"/>
      <c r="D181" s="11" t="n"/>
      <c r="E181" s="11" t="n"/>
    </row>
    <row r="182">
      <c r="A182" s="11" t="n"/>
      <c r="B182" s="11" t="n"/>
      <c r="C182" s="11" t="n"/>
      <c r="D182" s="11" t="n"/>
      <c r="E182" s="11" t="n"/>
    </row>
    <row r="183">
      <c r="A183" s="11" t="n"/>
      <c r="B183" s="11" t="n"/>
      <c r="C183" s="11" t="n"/>
      <c r="D183" s="11" t="n"/>
      <c r="E183" s="11" t="n"/>
    </row>
    <row r="184">
      <c r="A184" s="11" t="n"/>
      <c r="B184" s="11" t="n"/>
      <c r="C184" s="11" t="n"/>
      <c r="D184" s="11" t="n"/>
      <c r="E184" s="11" t="n"/>
    </row>
    <row r="185">
      <c r="A185" s="11" t="n"/>
      <c r="B185" s="11" t="n"/>
      <c r="C185" s="11" t="n"/>
      <c r="D185" s="11" t="n"/>
      <c r="E185" s="11" t="n"/>
    </row>
    <row r="186">
      <c r="A186" s="11" t="n"/>
      <c r="B186" s="11" t="n"/>
      <c r="C186" s="11" t="n"/>
      <c r="D186" s="11" t="n"/>
      <c r="E186" s="11" t="n"/>
    </row>
    <row r="187">
      <c r="A187" s="11" t="n"/>
      <c r="B187" s="11" t="n"/>
      <c r="C187" s="11" t="n"/>
      <c r="D187" s="11" t="n"/>
      <c r="E187" s="11" t="n"/>
    </row>
    <row r="188">
      <c r="A188" s="11" t="n"/>
      <c r="B188" s="11" t="n"/>
      <c r="C188" s="11" t="n"/>
      <c r="D188" s="11" t="n"/>
      <c r="E188" s="11" t="n"/>
    </row>
    <row r="189">
      <c r="A189" s="11" t="n"/>
      <c r="B189" s="11" t="n"/>
      <c r="C189" s="11" t="n"/>
      <c r="D189" s="11" t="n"/>
      <c r="E189" s="11" t="n"/>
    </row>
    <row r="190">
      <c r="A190" s="11" t="n"/>
      <c r="B190" s="11" t="n"/>
      <c r="C190" s="11" t="n"/>
      <c r="D190" s="11" t="n"/>
      <c r="E190" s="11" t="n"/>
    </row>
    <row r="191">
      <c r="A191" s="11" t="n"/>
      <c r="B191" s="11" t="n"/>
      <c r="C191" s="11" t="n"/>
      <c r="D191" s="11" t="n"/>
      <c r="E191" s="11" t="n"/>
    </row>
    <row r="192">
      <c r="A192" s="11" t="n"/>
      <c r="B192" s="11" t="n"/>
      <c r="C192" s="11" t="n"/>
      <c r="D192" s="11" t="n"/>
      <c r="E192" s="11" t="n"/>
    </row>
    <row r="193">
      <c r="A193" s="11" t="n"/>
      <c r="B193" s="11" t="n"/>
      <c r="C193" s="11" t="n"/>
      <c r="D193" s="11" t="n"/>
      <c r="E193" s="11" t="n"/>
    </row>
    <row r="194">
      <c r="A194" s="11" t="n"/>
      <c r="B194" s="11" t="n"/>
      <c r="C194" s="11" t="n"/>
      <c r="D194" s="11" t="n"/>
      <c r="E194" s="11" t="n"/>
    </row>
    <row r="195">
      <c r="A195" s="11" t="n"/>
      <c r="B195" s="11" t="n"/>
      <c r="C195" s="11" t="n"/>
      <c r="D195" s="11" t="n"/>
      <c r="E195" s="11" t="n"/>
    </row>
    <row r="196">
      <c r="A196" s="11" t="n"/>
      <c r="B196" s="11" t="n"/>
      <c r="C196" s="11" t="n"/>
      <c r="D196" s="11" t="n"/>
      <c r="E196" s="11" t="n"/>
    </row>
    <row r="197">
      <c r="A197" s="11" t="n"/>
      <c r="B197" s="11" t="n"/>
      <c r="C197" s="11" t="n"/>
      <c r="D197" s="11" t="n"/>
      <c r="E197" s="11" t="n"/>
    </row>
    <row r="198">
      <c r="A198" s="11" t="n"/>
      <c r="B198" s="11" t="n"/>
      <c r="C198" s="11" t="n"/>
      <c r="D198" s="11" t="n"/>
      <c r="E198" s="11" t="n"/>
    </row>
    <row r="199">
      <c r="A199" s="11" t="n"/>
      <c r="B199" s="11" t="n"/>
      <c r="C199" s="11" t="n"/>
      <c r="D199" s="11" t="n"/>
      <c r="E199" s="11" t="n"/>
    </row>
    <row r="200">
      <c r="A200" s="11" t="n"/>
      <c r="B200" s="11" t="n"/>
      <c r="C200" s="11" t="n"/>
      <c r="D200" s="11" t="n"/>
      <c r="E200" s="11" t="n"/>
    </row>
  </sheetData>
  <dataValidations count="1">
    <dataValidation sqref="B2:B200" showDropDown="0" showInputMessage="0" showErrorMessage="0" allowBlank="1" type="list">
      <formula1>"Mistake,Good Practice"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2026-09-02T15:48:07Z</dcterms:created>
  <dcterms:modified xmlns:dcterms="http://purl.org/dc/terms/" xmlns:xsi="http://www.w3.org/2001/XMLSchema-instance" xsi:type="dcterms:W3CDTF">2026-09-15T12:05:46Z</dcterms:modified>
  <cp:lastModifiedBy>G ANUSHA</cp:lastModifiedBy>
</cp:coreProperties>
</file>